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rinterSettings/printerSettings1.bin" ContentType="application/vnd.openxmlformats-officedocument.spreadsheetml.printerSettings"/>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hidePivotFieldList="1"/>
  <mc:AlternateContent xmlns:mc="http://schemas.openxmlformats.org/markup-compatibility/2006">
    <mc:Choice Requires="x15">
      <x15ac:absPath xmlns:x15ac="http://schemas.microsoft.com/office/spreadsheetml/2010/11/ac" url="https://uofwaterloo-my.sharepoint.com/personal/j245yang_uwaterloo_ca/Documents/FALL 2023/Personal Financial Tracking Tool/"/>
    </mc:Choice>
  </mc:AlternateContent>
  <xr:revisionPtr revIDLastSave="15" documentId="13_ncr:1_{84FA4FA3-0DD6-49D7-B9B3-ACDFEAD1C40E}" xr6:coauthVersionLast="47" xr6:coauthVersionMax="47" xr10:uidLastSave="{7CFAF2C6-5E35-4036-8C30-E61A46ABAF0A}"/>
  <bookViews>
    <workbookView xWindow="-98" yWindow="-98" windowWidth="28996" windowHeight="15796" tabRatio="809" xr2:uid="{2DB4531C-7D64-4C40-A0E9-DFEEAAF9F375}"/>
  </bookViews>
  <sheets>
    <sheet name="MainMenu" sheetId="1" r:id="rId1"/>
    <sheet name="IncomeExpensesTracking" sheetId="19" r:id="rId2"/>
    <sheet name="CombinedTable" sheetId="22" r:id="rId3"/>
    <sheet name="IncomeTable" sheetId="32" r:id="rId4"/>
    <sheet name="ExpensesTable" sheetId="34" r:id="rId5"/>
    <sheet name="CombinedPivot" sheetId="25" r:id="rId6"/>
    <sheet name="IncomePivot" sheetId="33" r:id="rId7"/>
    <sheet name="ExpensesPivot" sheetId="21" r:id="rId8"/>
    <sheet name="ByCategory" sheetId="4" r:id="rId9"/>
    <sheet name="Categories" sheetId="7" r:id="rId10"/>
  </sheets>
  <functionGroups builtInGroupCount="19"/>
  <definedNames>
    <definedName name="_xlcn.WorksheetConnection_IndividualTermProjectPrototype1.xlsmIncomeTable1" hidden="1">IncomeTable1</definedName>
    <definedName name="_xlcn.WorksheetConnection_IndividualTermProjectPrototype1.xlsmTable51" hidden="1">ExpensesTable1</definedName>
    <definedName name="MainMenuSheet">MainMenu!$1:$1048576</definedName>
    <definedName name="NativeTimeline_DATE">#N/A</definedName>
    <definedName name="NativeTimeline_DATE1">#N/A</definedName>
    <definedName name="NativeTimeline_DATE2">#N/A</definedName>
    <definedName name="Slicer_CATEGORY">#N/A</definedName>
    <definedName name="Slicer_CATEGORY1">#N/A</definedName>
    <definedName name="Slicer_CATEGORY2">#N/A</definedName>
    <definedName name="Slicer_CATEGORY3">#N/A</definedName>
    <definedName name="Slicer_CATEGORY4">#N/A</definedName>
    <definedName name="Slicer_Months__DATE">#N/A</definedName>
    <definedName name="Slicer_Months__DATE1">#N/A</definedName>
    <definedName name="Slicer_Months__DATE2">#N/A</definedName>
    <definedName name="Slicer_Years__DATE">#N/A</definedName>
    <definedName name="Slicer_Years__DATE1">#N/A</definedName>
    <definedName name="Slicer_Years__DATE2">#N/A</definedName>
    <definedName name="solver_eng" localSheetId="8" hidden="1">1</definedName>
    <definedName name="solver_neg" localSheetId="8" hidden="1">1</definedName>
    <definedName name="solver_num" localSheetId="8" hidden="1">0</definedName>
    <definedName name="solver_opt" localSheetId="8" hidden="1">ByCategory!$F$5</definedName>
    <definedName name="solver_typ" localSheetId="8" hidden="1">1</definedName>
    <definedName name="solver_val" localSheetId="8" hidden="1">0</definedName>
    <definedName name="solver_ver" localSheetId="8" hidden="1">3</definedName>
  </definedNames>
  <calcPr calcId="191028"/>
  <pivotCaches>
    <pivotCache cacheId="0" r:id="rId11"/>
    <pivotCache cacheId="1" r:id="rId12"/>
    <pivotCache cacheId="2"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25"/>
        <x15:timelineCacheRef r:id="rId26"/>
        <x15:timelineCacheRef r:id="rId27"/>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5" name="Table5" connection="WorksheetConnection_Individual Term Project Prototype1.xlsm!Table5"/>
          <x15:modelTable id="IncomeTable" name="IncomeTable" connection="WorksheetConnection_Individual Term Project Prototype1.xlsm!IncomeTable"/>
        </x15:modelTables>
        <x15:extLst>
          <ext xmlns:x16="http://schemas.microsoft.com/office/spreadsheetml/2014/11/main" uri="{9835A34E-60A6-4A7C-AAB8-D5F71C897F49}">
            <x16:modelTimeGroupings>
              <x16:modelTimeGrouping tableName="IncomeTable"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2" i="1" l="1"/>
  <c r="F21" i="1"/>
  <c r="F2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1D39EE-99C1-490E-A0F9-B286E36A11AA}" keepAlive="1" name="Query - IncomeTable" description="Connection to the 'IncomeTable' query in the workbook." type="5" refreshedVersion="0" background="1">
    <dbPr connection="Provider=Microsoft.Mashup.OleDb.1;Data Source=$Workbook$;Location=IncomeTable;Extended Properties=&quot;&quot;" command="SELECT * FROM [IncomeTable]"/>
  </connection>
  <connection id="2" xr16:uid="{6D0535E3-7889-4511-A27A-7284DE5E5CD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6B4AC87-5CA4-49FE-8A83-AD719E9523B4}" name="WorksheetConnection_Individual Term Project Prototype1.xlsm!IncomeTable" type="102" refreshedVersion="8" minRefreshableVersion="5" saveData="1">
    <extLst>
      <ext xmlns:x15="http://schemas.microsoft.com/office/spreadsheetml/2010/11/main" uri="{DE250136-89BD-433C-8126-D09CA5730AF9}">
        <x15:connection id="IncomeTable" autoDelete="1">
          <x15:rangePr sourceName="_xlcn.WorksheetConnection_IndividualTermProjectPrototype1.xlsmIncomeTable1"/>
        </x15:connection>
      </ext>
    </extLst>
  </connection>
  <connection id="4" xr16:uid="{75573CCC-B886-4263-9ECE-555BD27F6A22}" name="WorksheetConnection_Individual Term Project Prototype1.xlsm!Table5" type="102" refreshedVersion="8" minRefreshableVersion="5">
    <extLst>
      <ext xmlns:x15="http://schemas.microsoft.com/office/spreadsheetml/2010/11/main" uri="{DE250136-89BD-433C-8126-D09CA5730AF9}">
        <x15:connection id="Table5">
          <x15:rangePr sourceName="_xlcn.WorksheetConnection_IndividualTermProjectPrototype1.xlsmTable51"/>
        </x15:connection>
      </ext>
    </extLst>
  </connection>
</connections>
</file>

<file path=xl/sharedStrings.xml><?xml version="1.0" encoding="utf-8"?>
<sst xmlns="http://schemas.openxmlformats.org/spreadsheetml/2006/main" count="413" uniqueCount="74">
  <si>
    <t>GOAL</t>
  </si>
  <si>
    <t>GOAL AMOUNT</t>
  </si>
  <si>
    <t>COMPLETE BY</t>
  </si>
  <si>
    <t>CURRENT PROGRESS</t>
  </si>
  <si>
    <t>% COMPLETE</t>
  </si>
  <si>
    <t>School</t>
  </si>
  <si>
    <t>Groceries</t>
  </si>
  <si>
    <t>Travelling</t>
  </si>
  <si>
    <t>Gifts</t>
  </si>
  <si>
    <t>Emergency</t>
  </si>
  <si>
    <t>Rent</t>
  </si>
  <si>
    <t>Transportation</t>
  </si>
  <si>
    <t>Work</t>
  </si>
  <si>
    <t>INCOME</t>
  </si>
  <si>
    <t>DATE</t>
  </si>
  <si>
    <t>SOURCE</t>
  </si>
  <si>
    <t>CATEGORY</t>
  </si>
  <si>
    <t>AMOUNT</t>
  </si>
  <si>
    <t>EXPENSES</t>
  </si>
  <si>
    <t>Row Labels</t>
  </si>
  <si>
    <t>Sum of AMOUNT</t>
  </si>
  <si>
    <t>Grand Total</t>
  </si>
  <si>
    <t>(All)</t>
  </si>
  <si>
    <t>Months (DATE)</t>
  </si>
  <si>
    <t>Years (DATE)</t>
  </si>
  <si>
    <t>ALL INCOME AND EXPENSES</t>
  </si>
  <si>
    <t>Eating Out</t>
  </si>
  <si>
    <t>Utilities</t>
  </si>
  <si>
    <t>Shopping</t>
  </si>
  <si>
    <t>Entertainment</t>
  </si>
  <si>
    <t>Health</t>
  </si>
  <si>
    <t>Grocery</t>
  </si>
  <si>
    <t>Amazon</t>
  </si>
  <si>
    <t>Salary</t>
  </si>
  <si>
    <t>Housing</t>
  </si>
  <si>
    <t>Gas</t>
  </si>
  <si>
    <t>Coffee</t>
  </si>
  <si>
    <t>Bookstore</t>
  </si>
  <si>
    <t>Movie</t>
  </si>
  <si>
    <t>Gym</t>
  </si>
  <si>
    <t>Phone</t>
  </si>
  <si>
    <t>Freelance</t>
  </si>
  <si>
    <t>Restaurant</t>
  </si>
  <si>
    <t>Internet</t>
  </si>
  <si>
    <t>Clothing</t>
  </si>
  <si>
    <t>Laptop</t>
  </si>
  <si>
    <t>Uber</t>
  </si>
  <si>
    <t>Haircut</t>
  </si>
  <si>
    <t>Electricity</t>
  </si>
  <si>
    <t>Concert</t>
  </si>
  <si>
    <t>Shoes</t>
  </si>
  <si>
    <t>Insurance Claim</t>
  </si>
  <si>
    <t>Aug</t>
  </si>
  <si>
    <t>Sep</t>
  </si>
  <si>
    <t>Oct</t>
  </si>
  <si>
    <t>Nov</t>
  </si>
  <si>
    <t>2023</t>
  </si>
  <si>
    <t>Running Total</t>
  </si>
  <si>
    <t>Net Income Per Month</t>
  </si>
  <si>
    <t>Christmas Gifts</t>
  </si>
  <si>
    <t>2022</t>
  </si>
  <si>
    <t>Video Games</t>
  </si>
  <si>
    <t>Mar</t>
  </si>
  <si>
    <t>Booster Juice</t>
  </si>
  <si>
    <t>Mouse</t>
  </si>
  <si>
    <t>Coop</t>
  </si>
  <si>
    <t>Car</t>
  </si>
  <si>
    <t xml:space="preserve"> </t>
  </si>
  <si>
    <t>word</t>
  </si>
  <si>
    <t>IPad</t>
  </si>
  <si>
    <t>Goals</t>
  </si>
  <si>
    <t>Dec</t>
  </si>
  <si>
    <t>Purse</t>
  </si>
  <si>
    <t>hello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</si>
</sst>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7" formatCode="&quot;$&quot;#,##0.00;\-&quot;$&quot;#,##0.00"/>
    <numFmt numFmtId="8" formatCode="&quot;$&quot;#,##0.00;[Red]\-&quot;$&quot;#,##0.00"/>
    <numFmt numFmtId="164" formatCode="&quot;$&quot;#,##0.00"/>
    <numFmt numFmtId="165" formatCode="yyyy\-mm\-dd;@"/>
  </numFmts>
  <fonts count="2" x14ac:knownFonts="1">
    <font>
      <sz val="11"/>
      <color theme="1"/>
      <name val="Tw Cen MT"/>
      <family val="2"/>
      <scheme val="minor"/>
    </font>
    <font>
      <b/>
      <sz val="11"/>
      <color theme="1"/>
      <name val="Tw Cen MT"/>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14" fontId="0" fillId="0" borderId="0" xfId="0" applyNumberFormat="1"/>
    <xf numFmtId="1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165" fontId="0" fillId="0" borderId="0" xfId="0" applyNumberFormat="1" applyAlignment="1">
      <alignment horizontal="left"/>
    </xf>
    <xf numFmtId="14" fontId="0" fillId="0" borderId="0" xfId="0" applyNumberFormat="1" applyAlignment="1">
      <alignment horizontal="left"/>
    </xf>
    <xf numFmtId="7" fontId="0" fillId="0" borderId="0" xfId="0" applyNumberFormat="1"/>
    <xf numFmtId="8" fontId="0" fillId="0" borderId="0" xfId="0" applyNumberFormat="1"/>
    <xf numFmtId="0" fontId="0" fillId="0" borderId="1" xfId="0" applyBorder="1" applyAlignment="1">
      <alignment horizontal="left"/>
    </xf>
    <xf numFmtId="164" fontId="0" fillId="0" borderId="1" xfId="0" applyNumberFormat="1" applyBorder="1"/>
    <xf numFmtId="0" fontId="0" fillId="0" borderId="1" xfId="0" applyBorder="1" applyAlignment="1">
      <alignment horizontal="left" indent="1"/>
    </xf>
    <xf numFmtId="0" fontId="0" fillId="0" borderId="1" xfId="0" applyBorder="1"/>
    <xf numFmtId="14" fontId="0" fillId="0" borderId="1" xfId="0" applyNumberFormat="1" applyBorder="1" applyAlignment="1">
      <alignment horizontal="left" indent="2"/>
    </xf>
    <xf numFmtId="165" fontId="0" fillId="0" borderId="0" xfId="0" applyNumberFormat="1" applyAlignment="1">
      <alignment horizontal="left" indent="2"/>
    </xf>
    <xf numFmtId="14" fontId="0" fillId="0" borderId="0" xfId="0" applyNumberFormat="1" applyAlignment="1">
      <alignment horizontal="left" indent="2"/>
    </xf>
    <xf numFmtId="0" fontId="1" fillId="0" borderId="0" xfId="0" applyFont="1" applyAlignment="1">
      <alignment horizontal="center"/>
    </xf>
  </cellXfs>
  <cellStyles count="1">
    <cellStyle name="Normal" xfId="0" builtinId="0"/>
  </cellStyles>
  <dxfs count="45">
    <dxf>
      <numFmt numFmtId="164" formatCode="&quot;$&quot;#,##0.00"/>
    </dxf>
    <dxf>
      <numFmt numFmtId="19" formatCode="yyyy/mm/dd"/>
    </dxf>
    <dxf>
      <numFmt numFmtId="164" formatCode="&quot;$&quot;#,##0.00"/>
    </dxf>
    <dxf>
      <numFmt numFmtId="19" formatCode="yyyy/mm/dd"/>
    </dxf>
    <dxf>
      <numFmt numFmtId="164" formatCode="&quot;$&quot;#,##0.00"/>
    </dxf>
    <dxf>
      <numFmt numFmtId="19" formatCode="yyyy/mm/dd"/>
    </dxf>
    <dxf>
      <numFmt numFmtId="14" formatCode="0.00%"/>
    </dxf>
    <dxf>
      <numFmt numFmtId="12" formatCode="&quot;$&quot;#,##0.00;[Red]\-&quot;$&quot;#,##0.00"/>
    </dxf>
    <dxf>
      <numFmt numFmtId="19" formatCode="yyyy/mm/dd"/>
    </dxf>
    <dxf>
      <numFmt numFmtId="11" formatCode="&quot;$&quot;#,##0.00;\-&quot;$&quot;#,##0.00"/>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sz val="11"/>
        <color theme="1"/>
      </font>
    </dxf>
    <dxf>
      <fill>
        <patternFill patternType="solid">
          <fgColor theme="0"/>
          <bgColor theme="0"/>
        </patternFill>
      </fill>
      <border>
        <left style="thin">
          <color theme="1" tint="-0.499984740745262"/>
        </left>
        <right style="thin">
          <color theme="1" tint="-0.499984740745262"/>
        </right>
        <top style="thin">
          <color theme="1" tint="-0.499984740745262"/>
        </top>
        <bottom style="thin">
          <color theme="1" tint="-0.499984740745262"/>
        </bottom>
      </border>
    </dxf>
  </dxfs>
  <tableStyles count="1" defaultTableStyle="TableStyleMedium2" defaultPivotStyle="PivotStyleLight16">
    <tableStyle name="Timeline Style 1" pivot="0" table="0" count="8" xr9:uid="{E6FFD997-2F3B-4A9E-AC2C-D691E5DB7591}">
      <tableStyleElement type="wholeTable" dxfId="44"/>
      <tableStyleElement type="headerRow" dxfId="43"/>
    </tableStyle>
  </tableStyles>
  <colors>
    <mruColors>
      <color rgb="FFEAF2F1"/>
      <color rgb="FFFF5050"/>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5.xml"/><Relationship Id="rId26" Type="http://schemas.microsoft.com/office/2011/relationships/timelineCache" Target="timelineCaches/timelineCache2.xml"/><Relationship Id="rId3" Type="http://schemas.openxmlformats.org/officeDocument/2006/relationships/worksheet" Target="worksheets/sheet3.xml"/><Relationship Id="rId21" Type="http://schemas.microsoft.com/office/2007/relationships/slicerCache" Target="slicerCaches/slicerCache8.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4.xml"/><Relationship Id="rId25" Type="http://schemas.microsoft.com/office/2011/relationships/timelineCache" Target="timelineCaches/timelineCache1.xml"/><Relationship Id="rId33"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1.xml"/><Relationship Id="rId32" Type="http://schemas.openxmlformats.org/officeDocument/2006/relationships/powerPivotData" Target="model/item.data"/><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6.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microsoft.com/office/2011/relationships/timelineCache" Target="timelineCaches/timelineCache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Tool.xlsm]ExpensesPivot!ExpensesPivot2</c:name>
    <c:fmtId val="1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s>
    <c:plotArea>
      <c:layout/>
      <c:pieChart>
        <c:varyColors val="1"/>
        <c:ser>
          <c:idx val="0"/>
          <c:order val="0"/>
          <c:tx>
            <c:strRef>
              <c:f>ExpensesPivot!$E$4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2C-4834-8606-4B369C7C54E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2C-4834-8606-4B369C7C54E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A2C-4834-8606-4B369C7C54E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A2C-4834-8606-4B369C7C54E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A2C-4834-8606-4B369C7C54E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A2C-4834-8606-4B369C7C54E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A2C-4834-8606-4B369C7C54E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A2C-4834-8606-4B369C7C54E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A2C-4834-8606-4B369C7C54E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A2C-4834-8606-4B369C7C54E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A2C-4834-8606-4B369C7C54E9}"/>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ExpensesPivot!$D$5:$D$16</c:f>
              <c:strCache>
                <c:ptCount val="11"/>
                <c:pt idx="0">
                  <c:v>Eating Out</c:v>
                </c:pt>
                <c:pt idx="1">
                  <c:v>Entertainment</c:v>
                </c:pt>
                <c:pt idx="2">
                  <c:v>Gifts</c:v>
                </c:pt>
                <c:pt idx="3">
                  <c:v>Goals</c:v>
                </c:pt>
                <c:pt idx="4">
                  <c:v>Groceries</c:v>
                </c:pt>
                <c:pt idx="5">
                  <c:v>Health</c:v>
                </c:pt>
                <c:pt idx="6">
                  <c:v>Housing</c:v>
                </c:pt>
                <c:pt idx="7">
                  <c:v>School</c:v>
                </c:pt>
                <c:pt idx="8">
                  <c:v>Shopping</c:v>
                </c:pt>
                <c:pt idx="9">
                  <c:v>Transportation</c:v>
                </c:pt>
                <c:pt idx="10">
                  <c:v>Utilities</c:v>
                </c:pt>
              </c:strCache>
            </c:strRef>
          </c:cat>
          <c:val>
            <c:numRef>
              <c:f>ExpensesPivot!$E$5:$E$16</c:f>
              <c:numCache>
                <c:formatCode>0.00%</c:formatCode>
                <c:ptCount val="11"/>
                <c:pt idx="0">
                  <c:v>1.0739090288650686E-2</c:v>
                </c:pt>
                <c:pt idx="1">
                  <c:v>3.8991930627484031E-2</c:v>
                </c:pt>
                <c:pt idx="2">
                  <c:v>3.0862338913645662E-2</c:v>
                </c:pt>
                <c:pt idx="3">
                  <c:v>0.42153438516198954</c:v>
                </c:pt>
                <c:pt idx="4">
                  <c:v>2.2311212814645306E-2</c:v>
                </c:pt>
                <c:pt idx="5">
                  <c:v>1.6138745031916174E-2</c:v>
                </c:pt>
                <c:pt idx="6">
                  <c:v>0.20566863382713069</c:v>
                </c:pt>
                <c:pt idx="7">
                  <c:v>5.6003854028664323E-3</c:v>
                </c:pt>
                <c:pt idx="8">
                  <c:v>0.19336384439359264</c:v>
                </c:pt>
                <c:pt idx="9">
                  <c:v>1.663053514793849E-2</c:v>
                </c:pt>
                <c:pt idx="10">
                  <c:v>3.8158898390140097E-2</c:v>
                </c:pt>
              </c:numCache>
            </c:numRef>
          </c:val>
          <c:extLst>
            <c:ext xmlns:c16="http://schemas.microsoft.com/office/drawing/2014/chart" uri="{C3380CC4-5D6E-409C-BE32-E72D297353CC}">
              <c16:uniqueId val="{00000016-6A2C-4834-8606-4B369C7C54E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Tool.xlsm]IncomePivot!IncomePivot1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Income Categories</a:t>
            </a:r>
          </a:p>
        </c:rich>
      </c:tx>
      <c:overlay val="0"/>
      <c:spPr>
        <a:noFill/>
        <a:ln>
          <a:noFill/>
        </a:ln>
        <a:effectLst/>
      </c:spPr>
    </c:title>
    <c:autoTitleDeleted val="0"/>
    <c:pivotFmts>
      <c:pivotFmt>
        <c:idx val="0"/>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chemeClr val="lt1"/>
            </a:solid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marker>
          <c:symbol val="none"/>
        </c:marker>
        <c:dLbl>
          <c:idx val="0"/>
          <c:spPr>
            <a:solidFill>
              <a:schemeClr val="lt1"/>
            </a:solidFill>
            <a:ln>
              <a:solidFill>
                <a:schemeClr val="bg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c15:spPr>
            </c:ext>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1"/>
          </a:solidFill>
          <a:ln w="19050">
            <a:solidFill>
              <a:schemeClr val="lt1"/>
            </a:solidFill>
          </a:ln>
          <a:effectLst/>
        </c:spPr>
      </c:pivotFmt>
      <c:pivotFmt>
        <c:idx val="17"/>
      </c:pivotFmt>
      <c:pivotFmt>
        <c:idx val="18"/>
      </c:pivotFmt>
    </c:pivotFmts>
    <c:plotArea>
      <c:layout/>
      <c:pieChart>
        <c:varyColors val="1"/>
        <c:ser>
          <c:idx val="0"/>
          <c:order val="0"/>
          <c:tx>
            <c:strRef>
              <c:f>IncomePivot!$B$5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7-A977-4EA6-ABD4-4E08C694BD0F}"/>
              </c:ext>
            </c:extLst>
          </c:dPt>
          <c:dPt>
            <c:idx val="1"/>
            <c:bubble3D val="0"/>
            <c:extLst>
              <c:ext xmlns:c16="http://schemas.microsoft.com/office/drawing/2014/chart" uri="{C3380CC4-5D6E-409C-BE32-E72D297353CC}">
                <c16:uniqueId val="{00000009-A977-4EA6-ABD4-4E08C694BD0F}"/>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4-FF5F-4216-92C8-BB8FE07E1AC6}"/>
              </c:ext>
            </c:extLst>
          </c:dPt>
          <c:dLbls>
            <c:spPr>
              <a:solidFill>
                <a:schemeClr val="lt1"/>
              </a:solidFill>
              <a:ln>
                <a:solidFill>
                  <a:schemeClr val="bg2"/>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IncomePivot!$A$6:$A$10</c:f>
              <c:strCache>
                <c:ptCount val="4"/>
                <c:pt idx="0">
                  <c:v>Health</c:v>
                </c:pt>
                <c:pt idx="1">
                  <c:v>School</c:v>
                </c:pt>
                <c:pt idx="2">
                  <c:v>Work</c:v>
                </c:pt>
                <c:pt idx="3">
                  <c:v>Entertainment</c:v>
                </c:pt>
              </c:strCache>
            </c:strRef>
          </c:cat>
          <c:val>
            <c:numRef>
              <c:f>IncomePivot!$B$6:$B$10</c:f>
              <c:numCache>
                <c:formatCode>"$"#,##0.00</c:formatCode>
                <c:ptCount val="4"/>
                <c:pt idx="0">
                  <c:v>125</c:v>
                </c:pt>
                <c:pt idx="1">
                  <c:v>200</c:v>
                </c:pt>
                <c:pt idx="2">
                  <c:v>1488.1</c:v>
                </c:pt>
                <c:pt idx="3">
                  <c:v>50</c:v>
                </c:pt>
              </c:numCache>
            </c:numRef>
          </c:val>
          <c:extLst>
            <c:ext xmlns:c16="http://schemas.microsoft.com/office/drawing/2014/chart" uri="{C3380CC4-5D6E-409C-BE32-E72D297353CC}">
              <c16:uniqueId val="{0000000A-A977-4EA6-ABD4-4E08C694BD0F}"/>
            </c:ext>
          </c:extLst>
        </c:ser>
        <c:dLbls>
          <c:dLblPos val="bestFit"/>
          <c:showLegendKey val="0"/>
          <c:showVal val="1"/>
          <c:showCatName val="0"/>
          <c:showSerName val="0"/>
          <c:showPercent val="0"/>
          <c:showBubbleSize val="0"/>
          <c:showLeaderLines val="1"/>
        </c:dLbls>
        <c:firstSliceAng val="0"/>
      </c:pieChart>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Tool.xlsm]CombinedPivot!RunningTotal</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Total By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w="28575" cap="rnd">
            <a:solidFill>
              <a:schemeClr val="accent2"/>
            </a:solidFill>
            <a:round/>
          </a:ln>
          <a:effectLst/>
        </c:spPr>
        <c:marker>
          <c:spPr>
            <a:solidFill>
              <a:schemeClr val="accent2"/>
            </a:solidFill>
            <a:ln w="9525">
              <a:solidFill>
                <a:schemeClr val="accent2"/>
              </a:solid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5"/>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CombinedPivot!$B$1</c:f>
              <c:strCache>
                <c:ptCount val="1"/>
                <c:pt idx="0">
                  <c:v>Total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cat>
            <c:strRef>
              <c:f>CombinedPivot!$A$2:$A$40</c:f>
              <c:strCache>
                <c:ptCount val="38"/>
                <c:pt idx="0">
                  <c:v>2022-03-15</c:v>
                </c:pt>
                <c:pt idx="1">
                  <c:v>2022-11-30</c:v>
                </c:pt>
                <c:pt idx="2">
                  <c:v>2022-12-02</c:v>
                </c:pt>
                <c:pt idx="3">
                  <c:v>2023-08-12</c:v>
                </c:pt>
                <c:pt idx="4">
                  <c:v>2023-08-19</c:v>
                </c:pt>
                <c:pt idx="5">
                  <c:v>2023-08-22</c:v>
                </c:pt>
                <c:pt idx="6">
                  <c:v>2023-08-26</c:v>
                </c:pt>
                <c:pt idx="7">
                  <c:v>2023-08-29</c:v>
                </c:pt>
                <c:pt idx="8">
                  <c:v>2023-08-31</c:v>
                </c:pt>
                <c:pt idx="9">
                  <c:v>2023-09-02</c:v>
                </c:pt>
                <c:pt idx="10">
                  <c:v>2023-09-05</c:v>
                </c:pt>
                <c:pt idx="11">
                  <c:v>2023-09-07</c:v>
                </c:pt>
                <c:pt idx="12">
                  <c:v>2023-09-09</c:v>
                </c:pt>
                <c:pt idx="13">
                  <c:v>2023-09-12</c:v>
                </c:pt>
                <c:pt idx="14">
                  <c:v>2023-09-14</c:v>
                </c:pt>
                <c:pt idx="15">
                  <c:v>2023-09-16</c:v>
                </c:pt>
                <c:pt idx="16">
                  <c:v>2023-09-19</c:v>
                </c:pt>
                <c:pt idx="17">
                  <c:v>2023-09-23</c:v>
                </c:pt>
                <c:pt idx="18">
                  <c:v>2023-09-26</c:v>
                </c:pt>
                <c:pt idx="19">
                  <c:v>2023-09-28</c:v>
                </c:pt>
                <c:pt idx="20">
                  <c:v>2023-09-30</c:v>
                </c:pt>
                <c:pt idx="21">
                  <c:v>2023-10-03</c:v>
                </c:pt>
                <c:pt idx="22">
                  <c:v>2023-10-05</c:v>
                </c:pt>
                <c:pt idx="23">
                  <c:v>2023-10-07</c:v>
                </c:pt>
                <c:pt idx="24">
                  <c:v>2023-10-10</c:v>
                </c:pt>
                <c:pt idx="25">
                  <c:v>2023-10-12</c:v>
                </c:pt>
                <c:pt idx="26">
                  <c:v>2023-10-14</c:v>
                </c:pt>
                <c:pt idx="27">
                  <c:v>2023-10-17</c:v>
                </c:pt>
                <c:pt idx="28">
                  <c:v>2023-10-19</c:v>
                </c:pt>
                <c:pt idx="29">
                  <c:v>2023-10-21</c:v>
                </c:pt>
                <c:pt idx="30">
                  <c:v>2023-10-24</c:v>
                </c:pt>
                <c:pt idx="31">
                  <c:v>2023-10-29</c:v>
                </c:pt>
                <c:pt idx="32">
                  <c:v>2023-11-02</c:v>
                </c:pt>
                <c:pt idx="33">
                  <c:v>2023-11-12</c:v>
                </c:pt>
                <c:pt idx="34">
                  <c:v>2023-11-22</c:v>
                </c:pt>
                <c:pt idx="35">
                  <c:v>2023-11-23</c:v>
                </c:pt>
                <c:pt idx="36">
                  <c:v>2023-11-27</c:v>
                </c:pt>
                <c:pt idx="37">
                  <c:v>2023-12-03</c:v>
                </c:pt>
              </c:strCache>
            </c:strRef>
          </c:cat>
          <c:val>
            <c:numRef>
              <c:f>CombinedPivot!$B$2:$B$40</c:f>
              <c:numCache>
                <c:formatCode>"$"#,##0.00</c:formatCode>
                <c:ptCount val="38"/>
                <c:pt idx="0">
                  <c:v>-52</c:v>
                </c:pt>
                <c:pt idx="1">
                  <c:v>-205.75</c:v>
                </c:pt>
                <c:pt idx="2">
                  <c:v>-1205.75</c:v>
                </c:pt>
                <c:pt idx="3">
                  <c:v>-1254.5</c:v>
                </c:pt>
                <c:pt idx="4">
                  <c:v>-1286.7</c:v>
                </c:pt>
                <c:pt idx="5">
                  <c:v>-1148.95</c:v>
                </c:pt>
                <c:pt idx="6">
                  <c:v>-161.45000000000005</c:v>
                </c:pt>
                <c:pt idx="7">
                  <c:v>-165.70000000000005</c:v>
                </c:pt>
                <c:pt idx="8">
                  <c:v>-199.10000000000005</c:v>
                </c:pt>
                <c:pt idx="9">
                  <c:v>-711.4</c:v>
                </c:pt>
                <c:pt idx="10">
                  <c:v>-773.8</c:v>
                </c:pt>
                <c:pt idx="11">
                  <c:v>-830.59999999999991</c:v>
                </c:pt>
                <c:pt idx="12">
                  <c:v>-868.39999999999986</c:v>
                </c:pt>
                <c:pt idx="13">
                  <c:v>-939.89999999999986</c:v>
                </c:pt>
                <c:pt idx="14">
                  <c:v>-981.49999999999989</c:v>
                </c:pt>
                <c:pt idx="15">
                  <c:v>-987.74999999999989</c:v>
                </c:pt>
                <c:pt idx="16">
                  <c:v>-1500.0499999999997</c:v>
                </c:pt>
                <c:pt idx="17">
                  <c:v>-1527.9499999999998</c:v>
                </c:pt>
                <c:pt idx="18">
                  <c:v>-1572.5499999999997</c:v>
                </c:pt>
                <c:pt idx="19">
                  <c:v>-2335.75</c:v>
                </c:pt>
                <c:pt idx="20">
                  <c:v>-2349.5</c:v>
                </c:pt>
                <c:pt idx="21">
                  <c:v>-2382.25</c:v>
                </c:pt>
                <c:pt idx="22">
                  <c:v>-2394.5500000000002</c:v>
                </c:pt>
                <c:pt idx="23">
                  <c:v>-2423.9500000000003</c:v>
                </c:pt>
                <c:pt idx="24">
                  <c:v>-2452.8500000000004</c:v>
                </c:pt>
                <c:pt idx="25">
                  <c:v>-2474.9500000000003</c:v>
                </c:pt>
                <c:pt idx="26">
                  <c:v>-2523.8500000000004</c:v>
                </c:pt>
                <c:pt idx="27">
                  <c:v>-2571.4500000000003</c:v>
                </c:pt>
                <c:pt idx="28">
                  <c:v>-2608.2500000000005</c:v>
                </c:pt>
                <c:pt idx="29">
                  <c:v>-2420.0000000000005</c:v>
                </c:pt>
                <c:pt idx="30">
                  <c:v>-2245.4000000000005</c:v>
                </c:pt>
                <c:pt idx="31">
                  <c:v>-2327.1000000000004</c:v>
                </c:pt>
                <c:pt idx="32">
                  <c:v>-3327.1000000000004</c:v>
                </c:pt>
                <c:pt idx="33">
                  <c:v>-3127.1000000000004</c:v>
                </c:pt>
                <c:pt idx="34">
                  <c:v>-3059.1000000000004</c:v>
                </c:pt>
                <c:pt idx="35">
                  <c:v>-3009.1000000000004</c:v>
                </c:pt>
                <c:pt idx="36">
                  <c:v>-3018.7000000000003</c:v>
                </c:pt>
                <c:pt idx="37">
                  <c:v>-3118.7000000000003</c:v>
                </c:pt>
              </c:numCache>
            </c:numRef>
          </c:val>
          <c:smooth val="0"/>
          <c:extLst>
            <c:ext xmlns:c16="http://schemas.microsoft.com/office/drawing/2014/chart" uri="{C3380CC4-5D6E-409C-BE32-E72D297353CC}">
              <c16:uniqueId val="{00000000-360A-42BC-ACB7-36E2FE852F5A}"/>
            </c:ext>
          </c:extLst>
        </c:ser>
        <c:dLbls>
          <c:showLegendKey val="0"/>
          <c:showVal val="0"/>
          <c:showCatName val="0"/>
          <c:showSerName val="0"/>
          <c:showPercent val="0"/>
          <c:showBubbleSize val="0"/>
        </c:dLbls>
        <c:marker val="1"/>
        <c:smooth val="0"/>
        <c:axId val="329403375"/>
        <c:axId val="305046208"/>
      </c:lineChart>
      <c:catAx>
        <c:axId val="329403375"/>
        <c:scaling>
          <c:orientation val="minMax"/>
        </c:scaling>
        <c:delete val="0"/>
        <c:axPos val="b"/>
        <c:numFmt formatCode="m/d/yyyy"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5046208"/>
        <c:crosses val="autoZero"/>
        <c:auto val="1"/>
        <c:lblAlgn val="ctr"/>
        <c:lblOffset val="100"/>
        <c:noMultiLvlLbl val="0"/>
      </c:catAx>
      <c:valAx>
        <c:axId val="3050462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94033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Tool.xlsm]CombinedPivot!NetPerMonth</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Net</a:t>
            </a:r>
            <a:r>
              <a:rPr lang="en-US" baseline="0"/>
              <a:t> Money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CombinedPivot!$E$1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CombinedPivot!$D$2:$D$12</c:f>
              <c:multiLvlStrCache>
                <c:ptCount val="8"/>
                <c:lvl>
                  <c:pt idx="0">
                    <c:v>Mar</c:v>
                  </c:pt>
                  <c:pt idx="1">
                    <c:v>Nov</c:v>
                  </c:pt>
                  <c:pt idx="2">
                    <c:v>Dec</c:v>
                  </c:pt>
                  <c:pt idx="3">
                    <c:v>Aug</c:v>
                  </c:pt>
                  <c:pt idx="4">
                    <c:v>Sep</c:v>
                  </c:pt>
                  <c:pt idx="5">
                    <c:v>Oct</c:v>
                  </c:pt>
                  <c:pt idx="6">
                    <c:v>Nov</c:v>
                  </c:pt>
                  <c:pt idx="7">
                    <c:v>Dec</c:v>
                  </c:pt>
                </c:lvl>
                <c:lvl>
                  <c:pt idx="0">
                    <c:v>2022</c:v>
                  </c:pt>
                  <c:pt idx="3">
                    <c:v>2023</c:v>
                  </c:pt>
                </c:lvl>
              </c:multiLvlStrCache>
            </c:multiLvlStrRef>
          </c:cat>
          <c:val>
            <c:numRef>
              <c:f>CombinedPivot!$E$2:$E$12</c:f>
              <c:numCache>
                <c:formatCode>"$"#,##0.00</c:formatCode>
                <c:ptCount val="8"/>
                <c:pt idx="0">
                  <c:v>-52</c:v>
                </c:pt>
                <c:pt idx="1">
                  <c:v>-153.75</c:v>
                </c:pt>
                <c:pt idx="2">
                  <c:v>-1000</c:v>
                </c:pt>
                <c:pt idx="3">
                  <c:v>1006.65</c:v>
                </c:pt>
                <c:pt idx="4">
                  <c:v>-2150.3999999999996</c:v>
                </c:pt>
                <c:pt idx="5">
                  <c:v>22.399999999999991</c:v>
                </c:pt>
                <c:pt idx="6">
                  <c:v>-691.6</c:v>
                </c:pt>
                <c:pt idx="7">
                  <c:v>-100</c:v>
                </c:pt>
              </c:numCache>
            </c:numRef>
          </c:val>
          <c:smooth val="0"/>
          <c:extLst>
            <c:ext xmlns:c16="http://schemas.microsoft.com/office/drawing/2014/chart" uri="{C3380CC4-5D6E-409C-BE32-E72D297353CC}">
              <c16:uniqueId val="{00000000-EC7D-4D5C-A013-7531AB1BF8D8}"/>
            </c:ext>
          </c:extLst>
        </c:ser>
        <c:dLbls>
          <c:showLegendKey val="0"/>
          <c:showVal val="0"/>
          <c:showCatName val="0"/>
          <c:showSerName val="0"/>
          <c:showPercent val="0"/>
          <c:showBubbleSize val="0"/>
        </c:dLbls>
        <c:marker val="1"/>
        <c:smooth val="0"/>
        <c:axId val="28162704"/>
        <c:axId val="1901524975"/>
      </c:lineChart>
      <c:catAx>
        <c:axId val="281627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1524975"/>
        <c:crosses val="autoZero"/>
        <c:auto val="1"/>
        <c:lblAlgn val="ctr"/>
        <c:lblOffset val="100"/>
        <c:noMultiLvlLbl val="0"/>
      </c:catAx>
      <c:valAx>
        <c:axId val="1901524975"/>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1627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[Personal Financial Tracking Tool.xlsm]IncomePivot!IncomePivot1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Income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5"/>
          </a:solidFill>
          <a:ln>
            <a:solidFill>
              <a:schemeClr val="accent5"/>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IncomePivot!$B$5</c:f>
              <c:strCache>
                <c:ptCount val="1"/>
                <c:pt idx="0">
                  <c:v>Total</c:v>
                </c:pt>
              </c:strCache>
            </c:strRef>
          </c:tx>
          <c:spPr>
            <a:solidFill>
              <a:schemeClr val="accent5"/>
            </a:solidFill>
            <a:ln>
              <a:solidFill>
                <a:schemeClr val="accent5"/>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IncomePivot!$A$6:$A$10</c:f>
              <c:strCache>
                <c:ptCount val="4"/>
                <c:pt idx="0">
                  <c:v>Health</c:v>
                </c:pt>
                <c:pt idx="1">
                  <c:v>School</c:v>
                </c:pt>
                <c:pt idx="2">
                  <c:v>Work</c:v>
                </c:pt>
                <c:pt idx="3">
                  <c:v>Entertainment</c:v>
                </c:pt>
              </c:strCache>
            </c:strRef>
          </c:cat>
          <c:val>
            <c:numRef>
              <c:f>IncomePivot!$B$6:$B$10</c:f>
              <c:numCache>
                <c:formatCode>"$"#,##0.00</c:formatCode>
                <c:ptCount val="4"/>
                <c:pt idx="0">
                  <c:v>125</c:v>
                </c:pt>
                <c:pt idx="1">
                  <c:v>200</c:v>
                </c:pt>
                <c:pt idx="2">
                  <c:v>1488.1</c:v>
                </c:pt>
                <c:pt idx="3">
                  <c:v>50</c:v>
                </c:pt>
              </c:numCache>
            </c:numRef>
          </c:val>
          <c:extLst>
            <c:ext xmlns:c16="http://schemas.microsoft.com/office/drawing/2014/chart" uri="{C3380CC4-5D6E-409C-BE32-E72D297353CC}">
              <c16:uniqueId val="{00000000-B454-443E-96A9-99EEE4271ABD}"/>
            </c:ext>
          </c:extLst>
        </c:ser>
        <c:dLbls>
          <c:dLblPos val="outEnd"/>
          <c:showLegendKey val="0"/>
          <c:showVal val="1"/>
          <c:showCatName val="0"/>
          <c:showSerName val="0"/>
          <c:showPercent val="0"/>
          <c:showBubbleSize val="0"/>
        </c:dLbls>
        <c:gapWidth val="219"/>
        <c:overlap val="-27"/>
        <c:axId val="152591232"/>
        <c:axId val="80182992"/>
      </c:barChart>
      <c:catAx>
        <c:axId val="152591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82992"/>
        <c:crosses val="autoZero"/>
        <c:auto val="1"/>
        <c:lblAlgn val="ctr"/>
        <c:lblOffset val="100"/>
        <c:noMultiLvlLbl val="0"/>
      </c:catAx>
      <c:valAx>
        <c:axId val="8018299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5912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[Personal Financial Tracking Tool.xlsm]ExpensesPivot!ExpensesPivot1</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Categories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5050"/>
          </a:solidFill>
          <a:ln>
            <a:solidFill>
              <a:srgbClr val="FF505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ExpensesPivot!$B$4</c:f>
              <c:strCache>
                <c:ptCount val="1"/>
                <c:pt idx="0">
                  <c:v>Total</c:v>
                </c:pt>
              </c:strCache>
            </c:strRef>
          </c:tx>
          <c:spPr>
            <a:solidFill>
              <a:srgbClr val="FF5050"/>
            </a:solidFill>
            <a:ln>
              <a:solidFill>
                <a:srgbClr val="FF5050"/>
              </a:solidFill>
            </a:ln>
            <a:effectLst/>
          </c:spPr>
          <c:invertIfNegative val="0"/>
          <c:cat>
            <c:strRef>
              <c:f>ExpensesPivot!$A$5:$A$16</c:f>
              <c:strCache>
                <c:ptCount val="11"/>
                <c:pt idx="0">
                  <c:v>Eating Out</c:v>
                </c:pt>
                <c:pt idx="1">
                  <c:v>Entertainment</c:v>
                </c:pt>
                <c:pt idx="2">
                  <c:v>Gifts</c:v>
                </c:pt>
                <c:pt idx="3">
                  <c:v>Goals</c:v>
                </c:pt>
                <c:pt idx="4">
                  <c:v>Groceries</c:v>
                </c:pt>
                <c:pt idx="5">
                  <c:v>Health</c:v>
                </c:pt>
                <c:pt idx="6">
                  <c:v>Housing</c:v>
                </c:pt>
                <c:pt idx="7">
                  <c:v>School</c:v>
                </c:pt>
                <c:pt idx="8">
                  <c:v>Shopping</c:v>
                </c:pt>
                <c:pt idx="9">
                  <c:v>Transportation</c:v>
                </c:pt>
                <c:pt idx="10">
                  <c:v>Utilities</c:v>
                </c:pt>
              </c:strCache>
            </c:strRef>
          </c:cat>
          <c:val>
            <c:numRef>
              <c:f>ExpensesPivot!$B$5:$B$16</c:f>
              <c:numCache>
                <c:formatCode>"$"#,##0.00</c:formatCode>
                <c:ptCount val="11"/>
                <c:pt idx="0">
                  <c:v>-53.5</c:v>
                </c:pt>
                <c:pt idx="1">
                  <c:v>-194.25</c:v>
                </c:pt>
                <c:pt idx="2">
                  <c:v>-153.75</c:v>
                </c:pt>
                <c:pt idx="3">
                  <c:v>-2100</c:v>
                </c:pt>
                <c:pt idx="4">
                  <c:v>-111.15</c:v>
                </c:pt>
                <c:pt idx="5">
                  <c:v>-80.400000000000006</c:v>
                </c:pt>
                <c:pt idx="6">
                  <c:v>-1024.5999999999999</c:v>
                </c:pt>
                <c:pt idx="7">
                  <c:v>-27.9</c:v>
                </c:pt>
                <c:pt idx="8">
                  <c:v>-963.30000000000007</c:v>
                </c:pt>
                <c:pt idx="9">
                  <c:v>-82.85</c:v>
                </c:pt>
                <c:pt idx="10">
                  <c:v>-190.09999999999997</c:v>
                </c:pt>
              </c:numCache>
            </c:numRef>
          </c:val>
          <c:extLst>
            <c:ext xmlns:c16="http://schemas.microsoft.com/office/drawing/2014/chart" uri="{C3380CC4-5D6E-409C-BE32-E72D297353CC}">
              <c16:uniqueId val="{00000000-4B65-4D1C-91F3-B6C44FDC6CF9}"/>
            </c:ext>
          </c:extLst>
        </c:ser>
        <c:dLbls>
          <c:showLegendKey val="0"/>
          <c:showVal val="0"/>
          <c:showCatName val="0"/>
          <c:showSerName val="0"/>
          <c:showPercent val="0"/>
          <c:showBubbleSize val="0"/>
        </c:dLbls>
        <c:gapWidth val="219"/>
        <c:overlap val="-27"/>
        <c:axId val="152595552"/>
        <c:axId val="871589104"/>
      </c:barChart>
      <c:catAx>
        <c:axId val="152595552"/>
        <c:scaling>
          <c:orientation val="minMax"/>
        </c:scaling>
        <c:delete val="0"/>
        <c:axPos val="t"/>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2700000" spcFirstLastPara="1" vertOverflow="ellipsis"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871589104"/>
        <c:crosses val="autoZero"/>
        <c:auto val="1"/>
        <c:lblAlgn val="ctr"/>
        <c:lblOffset val="100"/>
        <c:noMultiLvlLbl val="0"/>
      </c:catAx>
      <c:valAx>
        <c:axId val="871589104"/>
        <c:scaling>
          <c:orientation val="maxMin"/>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5955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4.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5" Type="http://schemas.openxmlformats.org/officeDocument/2006/relationships/image" Target="../media/image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 Id="rId1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361950</xdr:colOff>
          <xdr:row>3</xdr:row>
          <xdr:rowOff>0</xdr:rowOff>
        </xdr:from>
        <xdr:to>
          <xdr:col>3</xdr:col>
          <xdr:colOff>342900</xdr:colOff>
          <xdr:row>6</xdr:row>
          <xdr:rowOff>42863</xdr:rowOff>
        </xdr:to>
        <xdr:sp macro="" textlink="">
          <xdr:nvSpPr>
            <xdr:cNvPr id="2049" name="OpenIncomeExpens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7</xdr:row>
          <xdr:rowOff>171450</xdr:rowOff>
        </xdr:from>
        <xdr:to>
          <xdr:col>5</xdr:col>
          <xdr:colOff>1276350</xdr:colOff>
          <xdr:row>11</xdr:row>
          <xdr:rowOff>38100</xdr:rowOff>
        </xdr:to>
        <xdr:sp macro="" textlink="">
          <xdr:nvSpPr>
            <xdr:cNvPr id="2050" name="OpenMonthlyReport"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361950</xdr:colOff>
          <xdr:row>8</xdr:row>
          <xdr:rowOff>0</xdr:rowOff>
        </xdr:from>
        <xdr:to>
          <xdr:col>3</xdr:col>
          <xdr:colOff>342900</xdr:colOff>
          <xdr:row>11</xdr:row>
          <xdr:rowOff>42863</xdr:rowOff>
        </xdr:to>
        <xdr:sp macro="" textlink="">
          <xdr:nvSpPr>
            <xdr:cNvPr id="2051" name="OpenFinancialGoal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12</xdr:row>
          <xdr:rowOff>161925</xdr:rowOff>
        </xdr:from>
        <xdr:to>
          <xdr:col>5</xdr:col>
          <xdr:colOff>695325</xdr:colOff>
          <xdr:row>16</xdr:row>
          <xdr:rowOff>28575</xdr:rowOff>
        </xdr:to>
        <xdr:sp macro="" textlink="">
          <xdr:nvSpPr>
            <xdr:cNvPr id="2052" name="AnalysisButton"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171450</xdr:rowOff>
        </xdr:from>
        <xdr:to>
          <xdr:col>5</xdr:col>
          <xdr:colOff>1276350</xdr:colOff>
          <xdr:row>6</xdr:row>
          <xdr:rowOff>38100</xdr:rowOff>
        </xdr:to>
        <xdr:sp macro="" textlink="">
          <xdr:nvSpPr>
            <xdr:cNvPr id="2053" name="OpenBudgetingToolButton"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12</xdr:col>
      <xdr:colOff>24407</xdr:colOff>
      <xdr:row>0</xdr:row>
      <xdr:rowOff>0</xdr:rowOff>
    </xdr:from>
    <xdr:to>
      <xdr:col>13</xdr:col>
      <xdr:colOff>853082</xdr:colOff>
      <xdr:row>20</xdr:row>
      <xdr:rowOff>157164</xdr:rowOff>
    </xdr:to>
    <mc:AlternateContent xmlns:mc="http://schemas.openxmlformats.org/markup-compatibility/2006" xmlns:a14="http://schemas.microsoft.com/office/drawing/2010/main">
      <mc:Choice Requires="a14">
        <xdr:graphicFrame macro="">
          <xdr:nvGraphicFramePr>
            <xdr:cNvPr id="6" name="CATEGORY 2">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4639329" y="0"/>
              <a:ext cx="1830784" cy="372903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833438</xdr:colOff>
      <xdr:row>0</xdr:row>
      <xdr:rowOff>0</xdr:rowOff>
    </xdr:from>
    <xdr:to>
      <xdr:col>15</xdr:col>
      <xdr:colOff>928685</xdr:colOff>
      <xdr:row>20</xdr:row>
      <xdr:rowOff>157162</xdr:rowOff>
    </xdr:to>
    <mc:AlternateContent xmlns:mc="http://schemas.openxmlformats.org/markup-compatibility/2006" xmlns:a14="http://schemas.microsoft.com/office/drawing/2010/main">
      <mc:Choice Requires="a14">
        <xdr:graphicFrame macro="">
          <xdr:nvGraphicFramePr>
            <xdr:cNvPr id="8" name="CATEGORY 3">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6435587" y="0"/>
              <a:ext cx="1826617" cy="37290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842962</xdr:colOff>
      <xdr:row>0</xdr:row>
      <xdr:rowOff>0</xdr:rowOff>
    </xdr:from>
    <xdr:to>
      <xdr:col>17</xdr:col>
      <xdr:colOff>119065</xdr:colOff>
      <xdr:row>20</xdr:row>
      <xdr:rowOff>157162</xdr:rowOff>
    </xdr:to>
    <mc:AlternateContent xmlns:mc="http://schemas.openxmlformats.org/markup-compatibility/2006" xmlns:a14="http://schemas.microsoft.com/office/drawing/2010/main">
      <mc:Choice Requires="a14">
        <xdr:graphicFrame macro="">
          <xdr:nvGraphicFramePr>
            <xdr:cNvPr id="9" name="CATEGORY 4">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4"/>
            </a:graphicData>
          </a:graphic>
        </xdr:graphicFrame>
      </mc:Choice>
      <mc:Fallback xmlns="">
        <xdr:sp macro="" textlink="">
          <xdr:nvSpPr>
            <xdr:cNvPr id="0" name=""/>
            <xdr:cNvSpPr>
              <a:spLocks noTextEdit="1"/>
            </xdr:cNvSpPr>
          </xdr:nvSpPr>
          <xdr:spPr>
            <a:xfrm>
              <a:off x="18176478" y="0"/>
              <a:ext cx="1830983" cy="3729037"/>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1090611</xdr:colOff>
      <xdr:row>20</xdr:row>
      <xdr:rowOff>176608</xdr:rowOff>
    </xdr:from>
    <xdr:to>
      <xdr:col>13</xdr:col>
      <xdr:colOff>834429</xdr:colOff>
      <xdr:row>39</xdr:row>
      <xdr:rowOff>119458</xdr:rowOff>
    </xdr:to>
    <mc:AlternateContent xmlns:mc="http://schemas.openxmlformats.org/markup-compatibility/2006" xmlns:a14="http://schemas.microsoft.com/office/drawing/2010/main">
      <mc:Choice Requires="a14">
        <xdr:graphicFrame macro="">
          <xdr:nvGraphicFramePr>
            <xdr:cNvPr id="10" name="Months (DATE)">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4961392" y="3748483"/>
              <a:ext cx="1830785" cy="333613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819149</xdr:colOff>
      <xdr:row>20</xdr:row>
      <xdr:rowOff>157163</xdr:rowOff>
    </xdr:from>
    <xdr:to>
      <xdr:col>15</xdr:col>
      <xdr:colOff>914396</xdr:colOff>
      <xdr:row>39</xdr:row>
      <xdr:rowOff>119063</xdr:rowOff>
    </xdr:to>
    <mc:AlternateContent xmlns:mc="http://schemas.openxmlformats.org/markup-compatibility/2006" xmlns:a14="http://schemas.microsoft.com/office/drawing/2010/main">
      <mc:Choice Requires="a14">
        <xdr:graphicFrame macro="">
          <xdr:nvGraphicFramePr>
            <xdr:cNvPr id="3" name="Months (DATE) 1">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onths (DATE) 1"/>
            </a:graphicData>
          </a:graphic>
        </xdr:graphicFrame>
      </mc:Choice>
      <mc:Fallback xmlns="">
        <xdr:sp macro="" textlink="">
          <xdr:nvSpPr>
            <xdr:cNvPr id="0" name=""/>
            <xdr:cNvSpPr>
              <a:spLocks noTextEdit="1"/>
            </xdr:cNvSpPr>
          </xdr:nvSpPr>
          <xdr:spPr>
            <a:xfrm>
              <a:off x="16421298" y="3729038"/>
              <a:ext cx="1826617" cy="335518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847724</xdr:colOff>
      <xdr:row>20</xdr:row>
      <xdr:rowOff>152400</xdr:rowOff>
    </xdr:from>
    <xdr:to>
      <xdr:col>17</xdr:col>
      <xdr:colOff>123827</xdr:colOff>
      <xdr:row>39</xdr:row>
      <xdr:rowOff>114300</xdr:rowOff>
    </xdr:to>
    <mc:AlternateContent xmlns:mc="http://schemas.openxmlformats.org/markup-compatibility/2006" xmlns:a14="http://schemas.microsoft.com/office/drawing/2010/main">
      <mc:Choice Requires="a14">
        <xdr:graphicFrame macro="">
          <xdr:nvGraphicFramePr>
            <xdr:cNvPr id="4" name="Months (DATE)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Months (DATE) 2"/>
            </a:graphicData>
          </a:graphic>
        </xdr:graphicFrame>
      </mc:Choice>
      <mc:Fallback xmlns="">
        <xdr:sp macro="" textlink="">
          <xdr:nvSpPr>
            <xdr:cNvPr id="0" name=""/>
            <xdr:cNvSpPr>
              <a:spLocks noTextEdit="1"/>
            </xdr:cNvSpPr>
          </xdr:nvSpPr>
          <xdr:spPr>
            <a:xfrm>
              <a:off x="18181240" y="3724275"/>
              <a:ext cx="1830983" cy="335518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361950</xdr:colOff>
          <xdr:row>13</xdr:row>
          <xdr:rowOff>0</xdr:rowOff>
        </xdr:from>
        <xdr:to>
          <xdr:col>2</xdr:col>
          <xdr:colOff>176213</xdr:colOff>
          <xdr:row>16</xdr:row>
          <xdr:rowOff>42863</xdr:rowOff>
        </xdr:to>
        <xdr:sp macro="" textlink="">
          <xdr:nvSpPr>
            <xdr:cNvPr id="2055" name="UpdateAllButton"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13</xdr:row>
          <xdr:rowOff>0</xdr:rowOff>
        </xdr:from>
        <xdr:to>
          <xdr:col>3</xdr:col>
          <xdr:colOff>328613</xdr:colOff>
          <xdr:row>16</xdr:row>
          <xdr:rowOff>42863</xdr:rowOff>
        </xdr:to>
        <xdr:sp macro="" textlink="">
          <xdr:nvSpPr>
            <xdr:cNvPr id="2056" name="HideDataButton"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704850</xdr:colOff>
          <xdr:row>12</xdr:row>
          <xdr:rowOff>161925</xdr:rowOff>
        </xdr:from>
        <xdr:to>
          <xdr:col>5</xdr:col>
          <xdr:colOff>1276350</xdr:colOff>
          <xdr:row>16</xdr:row>
          <xdr:rowOff>28575</xdr:rowOff>
        </xdr:to>
        <xdr:sp macro="" textlink="">
          <xdr:nvSpPr>
            <xdr:cNvPr id="2057" name="CloseAnalysisButton"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3</xdr:row>
          <xdr:rowOff>0</xdr:rowOff>
        </xdr:from>
        <xdr:to>
          <xdr:col>3</xdr:col>
          <xdr:colOff>352425</xdr:colOff>
          <xdr:row>6</xdr:row>
          <xdr:rowOff>42863</xdr:rowOff>
        </xdr:to>
        <xdr:sp macro="" textlink="">
          <xdr:nvSpPr>
            <xdr:cNvPr id="2058" name="OpenIncomeExpenseButton"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7</xdr:row>
          <xdr:rowOff>161925</xdr:rowOff>
        </xdr:from>
        <xdr:to>
          <xdr:col>5</xdr:col>
          <xdr:colOff>1276350</xdr:colOff>
          <xdr:row>11</xdr:row>
          <xdr:rowOff>28575</xdr:rowOff>
        </xdr:to>
        <xdr:sp macro="" textlink="">
          <xdr:nvSpPr>
            <xdr:cNvPr id="2059" name="OpenMonthlyReportButton"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7</xdr:row>
          <xdr:rowOff>171450</xdr:rowOff>
        </xdr:from>
        <xdr:to>
          <xdr:col>3</xdr:col>
          <xdr:colOff>352425</xdr:colOff>
          <xdr:row>11</xdr:row>
          <xdr:rowOff>38100</xdr:rowOff>
        </xdr:to>
        <xdr:sp macro="" textlink="">
          <xdr:nvSpPr>
            <xdr:cNvPr id="2060" name="OpenFinancialGoalsButton"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12</xdr:row>
          <xdr:rowOff>161925</xdr:rowOff>
        </xdr:from>
        <xdr:to>
          <xdr:col>5</xdr:col>
          <xdr:colOff>704850</xdr:colOff>
          <xdr:row>16</xdr:row>
          <xdr:rowOff>28575</xdr:rowOff>
        </xdr:to>
        <xdr:sp macro="" textlink="">
          <xdr:nvSpPr>
            <xdr:cNvPr id="2061" name="OpenAnalysisButton"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171450</xdr:colOff>
          <xdr:row>2</xdr:row>
          <xdr:rowOff>171450</xdr:rowOff>
        </xdr:from>
        <xdr:to>
          <xdr:col>5</xdr:col>
          <xdr:colOff>1276350</xdr:colOff>
          <xdr:row>6</xdr:row>
          <xdr:rowOff>38100</xdr:rowOff>
        </xdr:to>
        <xdr:sp macro="" textlink="">
          <xdr:nvSpPr>
            <xdr:cNvPr id="2062" name="OpenBudgetingButton"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371475</xdr:colOff>
          <xdr:row>13</xdr:row>
          <xdr:rowOff>0</xdr:rowOff>
        </xdr:from>
        <xdr:to>
          <xdr:col>2</xdr:col>
          <xdr:colOff>180975</xdr:colOff>
          <xdr:row>16</xdr:row>
          <xdr:rowOff>42863</xdr:rowOff>
        </xdr:to>
        <xdr:sp macro="" textlink="">
          <xdr:nvSpPr>
            <xdr:cNvPr id="2063" name="UpdateButton"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13</xdr:row>
          <xdr:rowOff>0</xdr:rowOff>
        </xdr:from>
        <xdr:to>
          <xdr:col>3</xdr:col>
          <xdr:colOff>333375</xdr:colOff>
          <xdr:row>16</xdr:row>
          <xdr:rowOff>42863</xdr:rowOff>
        </xdr:to>
        <xdr:sp macro="" textlink="">
          <xdr:nvSpPr>
            <xdr:cNvPr id="2064" name="ToggleHideDataButton" hidden="1">
              <a:extLst>
                <a:ext uri="{63B3BB69-23CF-44E3-9099-C40C66FF867C}">
                  <a14:compatExt spid="_x0000_s2064"/>
                </a:ext>
                <a:ext uri="{FF2B5EF4-FFF2-40B4-BE49-F238E27FC236}">
                  <a16:creationId xmlns:a16="http://schemas.microsoft.com/office/drawing/2014/main" id="{00000000-0008-0000-0000-000010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1443633</xdr:colOff>
      <xdr:row>0</xdr:row>
      <xdr:rowOff>178593</xdr:rowOff>
    </xdr:from>
    <xdr:ext cx="295209" cy="343620"/>
    <xdr:sp macro="[0]!Sheet1.TextBox1_Click" textlink="">
      <xdr:nvSpPr>
        <xdr:cNvPr id="2" name="TextBox 1">
          <a:extLst>
            <a:ext uri="{FF2B5EF4-FFF2-40B4-BE49-F238E27FC236}">
              <a16:creationId xmlns:a16="http://schemas.microsoft.com/office/drawing/2014/main" id="{00000000-0008-0000-0000-000002000000}"/>
            </a:ext>
          </a:extLst>
        </xdr:cNvPr>
        <xdr:cNvSpPr txBox="1"/>
      </xdr:nvSpPr>
      <xdr:spPr>
        <a:xfrm>
          <a:off x="7396758" y="178593"/>
          <a:ext cx="295209" cy="343620"/>
        </a:xfrm>
        <a:prstGeom prst="rect">
          <a:avLst/>
        </a:prstGeom>
        <a:solidFill>
          <a:schemeClr val="accent5">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CA" sz="1800" b="1"/>
            <a:t>?</a:t>
          </a:r>
        </a:p>
      </xdr:txBody>
    </xdr:sp>
    <xdr:clientData/>
  </xdr:oneCellAnchor>
  <xdr:twoCellAnchor editAs="oneCell">
    <xdr:from>
      <xdr:col>12</xdr:col>
      <xdr:colOff>17264</xdr:colOff>
      <xdr:row>39</xdr:row>
      <xdr:rowOff>99020</xdr:rowOff>
    </xdr:from>
    <xdr:to>
      <xdr:col>13</xdr:col>
      <xdr:colOff>843955</xdr:colOff>
      <xdr:row>53</xdr:row>
      <xdr:rowOff>51399</xdr:rowOff>
    </xdr:to>
    <mc:AlternateContent xmlns:mc="http://schemas.openxmlformats.org/markup-compatibility/2006" xmlns:a14="http://schemas.microsoft.com/office/drawing/2010/main">
      <mc:Choice Requires="a14">
        <xdr:graphicFrame macro="">
          <xdr:nvGraphicFramePr>
            <xdr:cNvPr id="5" name="Years (DATE)">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14632186" y="7064176"/>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820340</xdr:colOff>
      <xdr:row>39</xdr:row>
      <xdr:rowOff>99021</xdr:rowOff>
    </xdr:from>
    <xdr:to>
      <xdr:col>15</xdr:col>
      <xdr:colOff>917771</xdr:colOff>
      <xdr:row>53</xdr:row>
      <xdr:rowOff>51400</xdr:rowOff>
    </xdr:to>
    <mc:AlternateContent xmlns:mc="http://schemas.openxmlformats.org/markup-compatibility/2006" xmlns:a14="http://schemas.microsoft.com/office/drawing/2010/main">
      <mc:Choice Requires="a14">
        <xdr:graphicFrame macro="">
          <xdr:nvGraphicFramePr>
            <xdr:cNvPr id="7" name="Years (DATE) 1">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microsoft.com/office/drawing/2010/slicer">
              <sle:slicer xmlns:sle="http://schemas.microsoft.com/office/drawing/2010/slicer" name="Years (DATE) 1"/>
            </a:graphicData>
          </a:graphic>
        </xdr:graphicFrame>
      </mc:Choice>
      <mc:Fallback xmlns="">
        <xdr:sp macro="" textlink="">
          <xdr:nvSpPr>
            <xdr:cNvPr id="0" name=""/>
            <xdr:cNvSpPr>
              <a:spLocks noTextEdit="1"/>
            </xdr:cNvSpPr>
          </xdr:nvSpPr>
          <xdr:spPr>
            <a:xfrm>
              <a:off x="16437371" y="7064177"/>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850105</xdr:colOff>
      <xdr:row>39</xdr:row>
      <xdr:rowOff>102393</xdr:rowOff>
    </xdr:from>
    <xdr:to>
      <xdr:col>17</xdr:col>
      <xdr:colOff>124024</xdr:colOff>
      <xdr:row>53</xdr:row>
      <xdr:rowOff>54772</xdr:rowOff>
    </xdr:to>
    <mc:AlternateContent xmlns:mc="http://schemas.openxmlformats.org/markup-compatibility/2006" xmlns:a14="http://schemas.microsoft.com/office/drawing/2010/main">
      <mc:Choice Requires="a14">
        <xdr:graphicFrame macro="">
          <xdr:nvGraphicFramePr>
            <xdr:cNvPr id="11" name="Years (DATE) 2">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microsoft.com/office/drawing/2010/slicer">
              <sle:slicer xmlns:sle="http://schemas.microsoft.com/office/drawing/2010/slicer" name="Years (DATE) 2"/>
            </a:graphicData>
          </a:graphic>
        </xdr:graphicFrame>
      </mc:Choice>
      <mc:Fallback xmlns="">
        <xdr:sp macro="" textlink="">
          <xdr:nvSpPr>
            <xdr:cNvPr id="0" name=""/>
            <xdr:cNvSpPr>
              <a:spLocks noTextEdit="1"/>
            </xdr:cNvSpPr>
          </xdr:nvSpPr>
          <xdr:spPr>
            <a:xfrm>
              <a:off x="18198504" y="7067549"/>
              <a:ext cx="1828800" cy="245269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450850</xdr:colOff>
      <xdr:row>26</xdr:row>
      <xdr:rowOff>38100</xdr:rowOff>
    </xdr:from>
    <xdr:to>
      <xdr:col>18</xdr:col>
      <xdr:colOff>241300</xdr:colOff>
      <xdr:row>45</xdr:row>
      <xdr:rowOff>133350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203199</xdr:colOff>
      <xdr:row>0</xdr:row>
      <xdr:rowOff>0</xdr:rowOff>
    </xdr:from>
    <xdr:to>
      <xdr:col>18</xdr:col>
      <xdr:colOff>546100</xdr:colOff>
      <xdr:row>19</xdr:row>
      <xdr:rowOff>25400</xdr:rowOff>
    </xdr:to>
    <xdr:graphicFrame macro="">
      <xdr:nvGraphicFramePr>
        <xdr:cNvPr id="11" name="IncomeCategoriesPie">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488948</xdr:colOff>
      <xdr:row>45</xdr:row>
      <xdr:rowOff>128588</xdr:rowOff>
    </xdr:from>
    <xdr:to>
      <xdr:col>17</xdr:col>
      <xdr:colOff>660400</xdr:colOff>
      <xdr:row>53</xdr:row>
      <xdr:rowOff>152400</xdr:rowOff>
    </xdr:to>
    <mc:AlternateContent xmlns:mc="http://schemas.openxmlformats.org/markup-compatibility/2006" xmlns:tsle="http://schemas.microsoft.com/office/drawing/2012/timeslicer">
      <mc:Choice Requires="tsle">
        <xdr:graphicFrame macro="">
          <xdr:nvGraphicFramePr>
            <xdr:cNvPr id="4" name="DATE">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860548" y="8129588"/>
              <a:ext cx="11068052" cy="1446212"/>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25400</xdr:colOff>
      <xdr:row>26</xdr:row>
      <xdr:rowOff>19050</xdr:rowOff>
    </xdr:from>
    <xdr:to>
      <xdr:col>2</xdr:col>
      <xdr:colOff>482600</xdr:colOff>
      <xdr:row>54</xdr:row>
      <xdr:rowOff>6349</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400" y="4641850"/>
              <a:ext cx="1828800" cy="4965699"/>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655635</xdr:colOff>
      <xdr:row>18</xdr:row>
      <xdr:rowOff>88900</xdr:rowOff>
    </xdr:from>
    <xdr:to>
      <xdr:col>34</xdr:col>
      <xdr:colOff>298449</xdr:colOff>
      <xdr:row>45</xdr:row>
      <xdr:rowOff>120650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679449</xdr:colOff>
      <xdr:row>45</xdr:row>
      <xdr:rowOff>127000</xdr:rowOff>
    </xdr:from>
    <xdr:to>
      <xdr:col>34</xdr:col>
      <xdr:colOff>330199</xdr:colOff>
      <xdr:row>53</xdr:row>
      <xdr:rowOff>177799</xdr:rowOff>
    </xdr:to>
    <mc:AlternateContent xmlns:mc="http://schemas.openxmlformats.org/markup-compatibility/2006" xmlns:tsle="http://schemas.microsoft.com/office/drawing/2012/timeslicer">
      <mc:Choice Requires="tsle">
        <xdr:graphicFrame macro="">
          <xdr:nvGraphicFramePr>
            <xdr:cNvPr id="9" name="DATE 2">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12947649" y="8128000"/>
              <a:ext cx="11309350" cy="1473199"/>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2</xdr:col>
      <xdr:colOff>504824</xdr:colOff>
      <xdr:row>18</xdr:row>
      <xdr:rowOff>88899</xdr:rowOff>
    </xdr:from>
    <xdr:to>
      <xdr:col>17</xdr:col>
      <xdr:colOff>660400</xdr:colOff>
      <xdr:row>26</xdr:row>
      <xdr:rowOff>19048</xdr:rowOff>
    </xdr:to>
    <mc:AlternateContent xmlns:mc="http://schemas.openxmlformats.org/markup-compatibility/2006" xmlns:tsle="http://schemas.microsoft.com/office/drawing/2012/timeslicer">
      <mc:Choice Requires="tsle">
        <xdr:graphicFrame macro="">
          <xdr:nvGraphicFramePr>
            <xdr:cNvPr id="24" name="DATE 1">
              <a:extLst>
                <a:ext uri="{FF2B5EF4-FFF2-40B4-BE49-F238E27FC236}">
                  <a16:creationId xmlns:a16="http://schemas.microsoft.com/office/drawing/2014/main" id="{00000000-0008-0000-0100-00001800000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1876424" y="3289299"/>
              <a:ext cx="10315576" cy="1352549"/>
            </a:xfrm>
            <a:prstGeom prst="rect">
              <a:avLst/>
            </a:prstGeom>
            <a:solidFill>
              <a:prstClr val="white"/>
            </a:solidFill>
            <a:ln w="1">
              <a:solidFill>
                <a:prstClr val="green"/>
              </a:solidFill>
            </a:ln>
          </xdr:spPr>
          <xdr:txBody>
            <a:bodyPr vertOverflow="clip" horzOverflow="clip"/>
            <a:lstStyle/>
            <a:p>
              <a:r>
                <a:rPr lang="en-CA" sz="1100"/>
                <a:t>Timeline: Works in Excel 2013 or higher. Do not move or resize.</a:t>
              </a:r>
            </a:p>
          </xdr:txBody>
        </xdr:sp>
      </mc:Fallback>
    </mc:AlternateContent>
    <xdr:clientData/>
  </xdr:twoCellAnchor>
  <xdr:twoCellAnchor editAs="oneCell">
    <xdr:from>
      <xdr:col>0</xdr:col>
      <xdr:colOff>25400</xdr:colOff>
      <xdr:row>0</xdr:row>
      <xdr:rowOff>0</xdr:rowOff>
    </xdr:from>
    <xdr:to>
      <xdr:col>2</xdr:col>
      <xdr:colOff>482600</xdr:colOff>
      <xdr:row>26</xdr:row>
      <xdr:rowOff>6351</xdr:rowOff>
    </xdr:to>
    <mc:AlternateContent xmlns:mc="http://schemas.openxmlformats.org/markup-compatibility/2006" xmlns:a14="http://schemas.microsoft.com/office/drawing/2010/main">
      <mc:Choice Requires="a14">
        <xdr:graphicFrame macro="">
          <xdr:nvGraphicFramePr>
            <xdr:cNvPr id="25" name="CATEGORY 1">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25400" y="0"/>
              <a:ext cx="1828800" cy="4629151"/>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666749</xdr:colOff>
      <xdr:row>0</xdr:row>
      <xdr:rowOff>0</xdr:rowOff>
    </xdr:from>
    <xdr:to>
      <xdr:col>34</xdr:col>
      <xdr:colOff>292099</xdr:colOff>
      <xdr:row>18</xdr:row>
      <xdr:rowOff>88900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495300</xdr:colOff>
      <xdr:row>0</xdr:row>
      <xdr:rowOff>0</xdr:rowOff>
    </xdr:from>
    <xdr:to>
      <xdr:col>11</xdr:col>
      <xdr:colOff>133349</xdr:colOff>
      <xdr:row>18</xdr:row>
      <xdr:rowOff>82550</xdr:rowOff>
    </xdr:to>
    <xdr:graphicFrame macro="">
      <xdr:nvGraphicFramePr>
        <xdr:cNvPr id="7" name="Chart 6">
          <a:extLst>
            <a:ext uri="{FF2B5EF4-FFF2-40B4-BE49-F238E27FC236}">
              <a16:creationId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501651</xdr:colOff>
      <xdr:row>26</xdr:row>
      <xdr:rowOff>25400</xdr:rowOff>
    </xdr:from>
    <xdr:to>
      <xdr:col>11</xdr:col>
      <xdr:colOff>152400</xdr:colOff>
      <xdr:row>45</xdr:row>
      <xdr:rowOff>120650</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1481479" createdVersion="8" refreshedVersion="8" minRefreshableVersion="3" recordCount="39" xr:uid="{A07115B9-4CF3-47A0-933C-F83124753383}">
  <cacheSource type="worksheet">
    <worksheetSource name="CombinedTable"/>
  </cacheSource>
  <cacheFields count="7">
    <cacheField name="DATE" numFmtId="14">
      <sharedItems containsSemiMixedTypes="0" containsNonDate="0" containsDate="1" containsString="0" minDate="2022-03-15T00:00:00" maxDate="2023-12-04T00:00:00" count="84">
        <d v="2022-03-15T00:00:00"/>
        <d v="2022-11-30T00:00:00"/>
        <d v="2022-12-02T00:00:00"/>
        <d v="2023-08-12T00:00:00"/>
        <d v="2023-08-19T00:00:00"/>
        <d v="2023-08-22T00:00:00"/>
        <d v="2023-08-26T00:00:00"/>
        <d v="2023-08-29T00:00:00"/>
        <d v="2023-08-31T00:00:00"/>
        <d v="2023-09-02T00:00:00"/>
        <d v="2023-09-05T00:00:00"/>
        <d v="2023-09-07T00:00:00"/>
        <d v="2023-09-09T00:00:00"/>
        <d v="2023-09-12T00:00:00"/>
        <d v="2023-09-14T00:00:00"/>
        <d v="2023-09-16T00:00:00"/>
        <d v="2023-09-19T00:00:00"/>
        <d v="2023-09-23T00:00:00"/>
        <d v="2023-09-26T00:00:00"/>
        <d v="2023-09-28T00:00:00"/>
        <d v="2023-09-30T00:00:00"/>
        <d v="2023-10-03T00:00:00"/>
        <d v="2023-10-05T00:00:00"/>
        <d v="2023-10-07T00:00:00"/>
        <d v="2023-10-10T00:00:00"/>
        <d v="2023-10-12T00:00:00"/>
        <d v="2023-10-14T00:00:00"/>
        <d v="2023-10-17T00:00:00"/>
        <d v="2023-10-19T00:00:00"/>
        <d v="2023-10-21T00:00:00"/>
        <d v="2023-10-24T00:00:00"/>
        <d v="2023-10-29T00:00:00"/>
        <d v="2023-11-02T00:00:00"/>
        <d v="2023-11-12T00:00:00"/>
        <d v="2023-11-22T00:00:00"/>
        <d v="2023-11-23T00:00:00"/>
        <d v="2023-11-27T00:00:00"/>
        <d v="2023-12-03T00:00:00"/>
        <d v="2023-10-31T00:00:00" u="1"/>
        <d v="2023-12-02T00:00:00" u="1"/>
        <d v="2023-11-28T00:00:00" u="1"/>
        <d v="2023-10-23T00:00:00" u="1"/>
        <d v="2023-12-01T00:00:00" u="1"/>
        <d v="2023-10-28T00:00:00" u="1"/>
        <d v="2023-11-25T15:40:18" u="1"/>
        <d v="2023-11-24T23:23:00" u="1"/>
        <d v="2023-11-01T00:00:00" u="1"/>
        <d v="2023-10-16T00:00:00" u="1"/>
        <d v="2023-11-25T00:48:36" u="1"/>
        <d v="2023-10-04T00:00:00" u="1"/>
        <d v="2023-11-25T15:33:05" u="1"/>
        <d v="2023-11-25T15:32:46" u="1"/>
        <d v="2023-11-24T00:00:00" u="1"/>
        <d v="2023-11-20T00:00:00" u="1"/>
        <d v="2023-11-25T15:36:38" u="1"/>
        <d v="2023-11-25T15:41:26" u="1"/>
        <d v="2023-10-15T00:00:00" u="1"/>
        <d v="2023-11-25T15:33:11" u="1"/>
        <d v="2023-11-25T15:31:43" u="1"/>
        <d v="2023-11-25T15:31:03" u="1"/>
        <d v="2023-11-24T23:21:21" u="1"/>
        <d v="2023-11-25T01:31:36" u="1"/>
        <d v="2023-11-25T15:36:44" u="1"/>
        <d v="2023-11-15T00:00:00" u="1"/>
        <d v="2023-11-11T00:00:00" u="1"/>
        <d v="2023-11-03T00:00:00" u="1"/>
        <d v="2022-03-29T00:00:00" u="1"/>
        <d v="2023-10-18T00:00:00" u="1"/>
        <d v="2023-10-06T00:00:00" u="1"/>
        <d v="2023-09-21T00:00:00" u="1"/>
        <d v="2023-11-25T04:22:38" u="1"/>
        <d v="2023-11-30T00:00:00" u="1"/>
        <d v="2023-10-25T00:00:00" u="1"/>
        <d v="2023-11-25T15:36:33" u="1"/>
        <d v="2023-11-25T04:17:56" u="1"/>
        <d v="2023-07-11T00:00:00" u="1"/>
        <d v="2023-10-13T00:00:00" u="1"/>
        <d v="2023-11-25T17:04:13" u="1"/>
        <d v="2023-11-25T04:21:25" u="1"/>
        <d v="2023-10-01T00:00:00" u="1"/>
        <d v="2023-11-25T15:40:25" u="1"/>
        <d v="2023-11-25T00:00:00" u="1"/>
        <d v="2023-11-25T15:30:12" u="1"/>
        <d v="2023-11-25T15:36:49" u="1"/>
      </sharedItems>
      <fieldGroup par="6"/>
    </cacheField>
    <cacheField name="SOURCE" numFmtId="0">
      <sharedItems count="78">
        <s v="Video Games"/>
        <s v="Christmas Gifts"/>
        <s v="Purse"/>
        <s v="Grocery"/>
        <s v="Amazon"/>
        <s v="Freelance"/>
        <s v="Salary"/>
        <s v="Coffee"/>
        <s v="Restaurant"/>
        <s v="Rent"/>
        <s v="Internet"/>
        <s v="Gas"/>
        <s v="Concert"/>
        <s v="Clothing"/>
        <s v="Bookstore"/>
        <s v="Laptop"/>
        <s v="Movie"/>
        <s v="Uber"/>
        <s v="Gym"/>
        <s v="Haircut"/>
        <s v="Phone"/>
        <s v="Electricity"/>
        <s v="Shoes"/>
        <s v="IPad"/>
        <s v="Coop"/>
        <s v="Insurance Claim"/>
        <s v="Mouse"/>
        <s v="hello"/>
        <s v="Booster Juice"/>
        <s v="Car"/>
        <s v="HEOA" u="1"/>
        <s v="adfawe" u="1"/>
        <s v="qewrqwea" u="1"/>
        <s v="Brawlhalla" u="1"/>
        <s v="dtydgfdrgftd" u="1"/>
        <s v="dafweqtg" u="1"/>
        <s v="LOTTERY WIN" u="1"/>
        <s v="WATCARD" u="1"/>
        <s v="CHICK-FIL-A" u="1"/>
        <s v="adfsadf" u="1"/>
        <s v="ENGSOC COFFEE" u="1"/>
        <s v="dfaeq" u="1"/>
        <s v="Investment" u="1"/>
        <s v="HARVEYS" u="1"/>
        <s v="BIRTHDAY MONEY" u="1"/>
        <s v="Kinton Ramen" u="1"/>
        <s v="KABOB HUT" u="1"/>
        <s v="Birthday" u="1"/>
        <s v="CHIPOTLE" u="1"/>
        <s v="erqe" u="1"/>
        <s v="Everyday Starbucks" u="1"/>
        <s v="HIHII" u="1"/>
        <s v="STARBUCKS" u="1"/>
        <s v="OSAP" u="1"/>
        <s v="FILAS" u="1"/>
        <s v="NURI VILLAGE" u="1"/>
        <s v="Etsy" u="1"/>
        <s v="afwqer" u="1"/>
        <s v="FRESH BURRITO" u="1"/>
        <s v="qrqer" u="1"/>
        <s v="heleoo" u="1"/>
        <s v="adfadeqwr" u="1"/>
        <s v="hihi" u="1"/>
        <s v="Emergency Fund" u="1"/>
        <s v="JOB" u="1"/>
        <s v="Hi" u="1"/>
        <s v="COOKING CLUB" u="1"/>
        <s v="POSTERS" u="1"/>
        <s v="CMH" u="1"/>
        <s v="adfa" u="1"/>
        <s v="PRESTO CARD" u="1"/>
        <s v="MACHI MACHI" u="1"/>
        <s v="fadqerq" u="1"/>
        <s v="fadf" u="1"/>
        <s v="awer" u="1"/>
        <s v="heheh" u="1"/>
        <s v="MEL'S DINER" u="1"/>
        <s v="dafdas" u="1"/>
      </sharedItems>
    </cacheField>
    <cacheField name="CATEGORY" numFmtId="0">
      <sharedItems count="18">
        <s v="Entertainment"/>
        <s v="Gifts"/>
        <s v="Goals"/>
        <s v="Groceries"/>
        <s v="Shopping"/>
        <s v="Work"/>
        <s v="Eating Out"/>
        <s v="Housing"/>
        <s v="Utilities"/>
        <s v="Transportation"/>
        <s v="School"/>
        <s v="Health"/>
        <s v="Emergency" u="1"/>
        <s v="For Fun" u="1"/>
        <s v="Travel" u="1"/>
        <s v="Clothes" u="1"/>
        <s v="Savings" u="1"/>
        <s v="Travelling" u="1"/>
      </sharedItems>
    </cacheField>
    <cacheField name="AMOUNT" numFmtId="164">
      <sharedItems containsSemiMixedTypes="0" containsString="0" containsNumber="1" minValue="-1000" maxValue="987.5"/>
    </cacheField>
    <cacheField name="Months (DATE)" numFmtId="0" databaseField="0">
      <fieldGroup base="0">
        <rangePr groupBy="months" startDate="2022-03-15T00:00:00" endDate="2023-12-04T00:00:00"/>
        <groupItems count="14">
          <s v="&lt;2022-03-15"/>
          <s v="Jan"/>
          <s v="Feb"/>
          <s v="Mar"/>
          <s v="Apr"/>
          <s v="May"/>
          <s v="Jun"/>
          <s v="Jul"/>
          <s v="Aug"/>
          <s v="Sep"/>
          <s v="Oct"/>
          <s v="Nov"/>
          <s v="Dec"/>
          <s v="&gt;2023-12-04"/>
        </groupItems>
      </fieldGroup>
    </cacheField>
    <cacheField name="Quarters (DATE)" numFmtId="0" databaseField="0">
      <fieldGroup base="0">
        <rangePr groupBy="quarters" startDate="2022-03-15T00:00:00" endDate="2023-12-04T00:00:00"/>
        <groupItems count="6">
          <s v="&lt;2022-03-15"/>
          <s v="Qtr1"/>
          <s v="Qtr2"/>
          <s v="Qtr3"/>
          <s v="Qtr4"/>
          <s v="&gt;2023-12-04"/>
        </groupItems>
      </fieldGroup>
    </cacheField>
    <cacheField name="Years (DATE)" numFmtId="0" databaseField="0">
      <fieldGroup base="0">
        <rangePr groupBy="years" startDate="2022-03-15T00:00:00" endDate="2023-12-04T00:00:00"/>
        <groupItems count="4">
          <s v="&lt;2022-03-15"/>
          <s v="2022"/>
          <s v="2023"/>
          <s v="&gt;2023-12-04"/>
        </groupItems>
      </fieldGroup>
    </cacheField>
  </cacheFields>
  <extLst>
    <ext xmlns:x14="http://schemas.microsoft.com/office/spreadsheetml/2009/9/main" uri="{725AE2AE-9491-48be-B2B4-4EB974FC3084}">
      <x14:pivotCacheDefinition pivotCacheId="166366685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1828702" createdVersion="8" refreshedVersion="8" minRefreshableVersion="3" recordCount="7" xr:uid="{99BC39B2-3848-4D65-A12E-7937EF2BA6DB}">
  <cacheSource type="worksheet">
    <worksheetSource name="IncomeTable"/>
  </cacheSource>
  <cacheFields count="7">
    <cacheField name="DATE" numFmtId="14">
      <sharedItems containsSemiMixedTypes="0" containsNonDate="0" containsDate="1" containsString="0" minDate="2022-11-30T00:00:00" maxDate="2023-12-02T00:00:00" count="20">
        <d v="2023-08-22T00:00:00"/>
        <d v="2023-08-26T00:00:00"/>
        <d v="2023-10-21T00:00:00"/>
        <d v="2023-10-24T00:00:00"/>
        <d v="2023-11-12T00:00:00"/>
        <d v="2023-11-22T00:00:00"/>
        <d v="2023-11-23T00:00:00"/>
        <d v="2023-10-23T00:00:00" u="1"/>
        <d v="2023-12-01T00:00:00" u="1"/>
        <d v="2023-10-13T00:00:00" u="1"/>
        <d v="2023-11-11T00:00:00" u="1"/>
        <d v="2022-11-30T00:00:00" u="1"/>
        <d v="2023-11-28T00:00:00" u="1"/>
        <d v="2023-10-16T00:00:00" u="1"/>
        <d v="2023-11-03T00:00:00" u="1"/>
        <d v="2023-10-17T00:00:00" u="1"/>
        <d v="2023-11-15T00:00:00" u="1"/>
        <d v="2023-10-29T00:00:00" u="1"/>
        <d v="2023-11-01T00:00:00" u="1"/>
        <d v="2023-11-25T00:00:00" u="1"/>
      </sharedItems>
      <fieldGroup par="6"/>
    </cacheField>
    <cacheField name="SOURCE" numFmtId="0">
      <sharedItems count="18">
        <s v="Freelance"/>
        <s v="Salary"/>
        <s v="Coop"/>
        <s v="Insurance Claim"/>
        <s v="hello"/>
        <s v="LOTTERY WIN" u="1"/>
        <s v="BIRTHDAY MONEY" u="1"/>
        <s v="HIHII" u="1"/>
        <s v="JOB" u="1"/>
        <s v="erqe" u="1"/>
        <s v="Hi" u="1"/>
        <s v="adfa" u="1"/>
        <s v="heheh" u="1"/>
        <s v="adfsadf" u="1"/>
        <s v="Etsy" u="1"/>
        <s v="Investment" u="1"/>
        <s v="OSAP" u="1"/>
        <s v="dtydgfdrgftd" u="1"/>
      </sharedItems>
    </cacheField>
    <cacheField name="CATEGORY" numFmtId="0">
      <sharedItems count="12">
        <s v="Work"/>
        <s v="School"/>
        <s v="Health"/>
        <s v="Entertainment"/>
        <s v="Transportation" u="1"/>
        <s v="Eating out" u="1"/>
        <s v="For Fun" u="1"/>
        <s v="Gifts" u="1"/>
        <s v="Groceries" u="1"/>
        <s v="Emergency" u="1"/>
        <s v="Travelling" u="1"/>
        <s v="Savings" u="1"/>
      </sharedItems>
    </cacheField>
    <cacheField name="AMOUNT" numFmtId="164">
      <sharedItems containsSemiMixedTypes="0" containsString="0" containsNumber="1" minValue="50" maxValue="987.5"/>
    </cacheField>
    <cacheField name="Months (DATE)" numFmtId="0" databaseField="0">
      <fieldGroup base="0">
        <rangePr groupBy="months" startDate="2023-08-22T00:00:00" endDate="2023-11-24T00:00:00"/>
        <groupItems count="14">
          <s v="&lt;2023-08-22"/>
          <s v="Jan"/>
          <s v="Feb"/>
          <s v="Mar"/>
          <s v="Apr"/>
          <s v="May"/>
          <s v="Jun"/>
          <s v="Jul"/>
          <s v="Aug"/>
          <s v="Sep"/>
          <s v="Oct"/>
          <s v="Nov"/>
          <s v="Dec"/>
          <s v="&gt;2023-11-24"/>
        </groupItems>
      </fieldGroup>
    </cacheField>
    <cacheField name="Quarters (DATE)" numFmtId="0" databaseField="0">
      <fieldGroup base="0">
        <rangePr groupBy="quarters" startDate="2023-08-22T00:00:00" endDate="2023-11-24T00:00:00"/>
        <groupItems count="6">
          <s v="&lt;2023-08-22"/>
          <s v="Qtr1"/>
          <s v="Qtr2"/>
          <s v="Qtr3"/>
          <s v="Qtr4"/>
          <s v="&gt;2023-11-24"/>
        </groupItems>
      </fieldGroup>
    </cacheField>
    <cacheField name="Years (DATE)" numFmtId="0" databaseField="0">
      <fieldGroup base="0">
        <rangePr groupBy="years" startDate="2023-08-22T00:00:00" endDate="2023-11-24T00:00:00"/>
        <groupItems count="3">
          <s v="&lt;2023-08-22"/>
          <s v="2023"/>
          <s v="&gt;2023-11-24"/>
        </groupItems>
      </fieldGroup>
    </cacheField>
  </cacheFields>
  <extLst>
    <ext xmlns:x14="http://schemas.microsoft.com/office/spreadsheetml/2009/9/main" uri="{725AE2AE-9491-48be-B2B4-4EB974FC3084}">
      <x14:pivotCacheDefinition pivotCacheId="101488504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nchao Lin" refreshedDate="45263.810932060187" createdVersion="8" refreshedVersion="8" minRefreshableVersion="3" recordCount="32" xr:uid="{88B1995B-F168-4550-97DE-BB12F5B98345}">
  <cacheSource type="worksheet">
    <worksheetSource name="ExpensesTable"/>
  </cacheSource>
  <cacheFields count="7">
    <cacheField name="DATE" numFmtId="14">
      <sharedItems containsSemiMixedTypes="0" containsNonDate="0" containsDate="1" containsString="0" minDate="2022-03-15T00:00:00" maxDate="2023-12-04T00:00:00" count="70">
        <d v="2022-03-15T00:00:00"/>
        <d v="2022-11-30T00:00:00"/>
        <d v="2022-12-02T00:00:00"/>
        <d v="2023-08-12T00:00:00"/>
        <d v="2023-08-19T00:00:00"/>
        <d v="2023-08-29T00:00:00"/>
        <d v="2023-08-31T00:00:00"/>
        <d v="2023-09-02T00:00:00"/>
        <d v="2023-09-05T00:00:00"/>
        <d v="2023-09-07T00:00:00"/>
        <d v="2023-09-09T00:00:00"/>
        <d v="2023-09-12T00:00:00"/>
        <d v="2023-09-14T00:00:00"/>
        <d v="2023-09-16T00:00:00"/>
        <d v="2023-09-19T00:00:00"/>
        <d v="2023-09-23T00:00:00"/>
        <d v="2023-09-26T00:00:00"/>
        <d v="2023-09-28T00:00:00"/>
        <d v="2023-09-30T00:00:00"/>
        <d v="2023-10-03T00:00:00"/>
        <d v="2023-10-05T00:00:00"/>
        <d v="2023-10-07T00:00:00"/>
        <d v="2023-10-10T00:00:00"/>
        <d v="2023-10-12T00:00:00"/>
        <d v="2023-10-14T00:00:00"/>
        <d v="2023-10-17T00:00:00"/>
        <d v="2023-10-19T00:00:00"/>
        <d v="2023-10-29T00:00:00"/>
        <d v="2023-11-02T00:00:00"/>
        <d v="2023-11-22T00:00:00"/>
        <d v="2023-11-27T00:00:00"/>
        <d v="2023-12-03T00:00:00"/>
        <d v="2023-12-02T00:00:00" u="1"/>
        <d v="2023-11-28T00:00:00" u="1"/>
        <d v="2023-10-28T00:00:00" u="1"/>
        <d v="2023-10-24T00:00:00" u="1"/>
        <d v="2023-11-25T15:40:18" u="1"/>
        <d v="2023-11-24T23:23:00" u="1"/>
        <d v="2023-11-25T00:48:36" u="1"/>
        <d v="2023-10-04T00:00:00" u="1"/>
        <d v="2023-11-25T15:33:05" u="1"/>
        <d v="2023-11-25T15:32:46" u="1"/>
        <d v="2023-11-24T00:00:00" u="1"/>
        <d v="2023-11-20T00:00:00" u="1"/>
        <d v="2023-10-31T00:00:00" u="1"/>
        <d v="2023-11-25T15:36:38" u="1"/>
        <d v="2023-11-25T15:41:26" u="1"/>
        <d v="2023-10-15T00:00:00" u="1"/>
        <d v="2023-11-25T15:33:11" u="1"/>
        <d v="2023-11-25T15:31:43" u="1"/>
        <d v="2023-11-25T15:31:03" u="1"/>
        <d v="2023-11-25T01:31:36" u="1"/>
        <d v="2023-11-25T15:36:44" u="1"/>
        <d v="2023-10-18T00:00:00" u="1"/>
        <d v="2023-10-06T00:00:00" u="1"/>
        <d v="2023-09-21T00:00:00" u="1"/>
        <d v="2023-11-25T04:22:38" u="1"/>
        <d v="2023-11-30T00:00:00" u="1"/>
        <d v="2023-10-25T00:00:00" u="1"/>
        <d v="2023-11-25T15:36:33" u="1"/>
        <d v="2023-10-21T00:00:00" u="1"/>
        <d v="2023-11-25T04:17:56" u="1"/>
        <d v="2023-07-11T00:00:00" u="1"/>
        <d v="2023-10-13T00:00:00" u="1"/>
        <d v="2023-11-25T17:04:13" u="1"/>
        <d v="2023-11-25T04:21:25" u="1"/>
        <d v="2023-10-01T00:00:00" u="1"/>
        <d v="2023-11-25T15:40:25" u="1"/>
        <d v="2023-11-25T15:30:12" u="1"/>
        <d v="2023-11-25T15:36:49" u="1"/>
      </sharedItems>
      <fieldGroup par="6"/>
    </cacheField>
    <cacheField name="SOURCE" numFmtId="0">
      <sharedItems count="56">
        <s v="Video Games"/>
        <s v="Christmas Gifts"/>
        <s v="Purse"/>
        <s v="Grocery"/>
        <s v="Amazon"/>
        <s v="Coffee"/>
        <s v="Restaurant"/>
        <s v="Rent"/>
        <s v="Internet"/>
        <s v="Gas"/>
        <s v="Concert"/>
        <s v="Clothing"/>
        <s v="Bookstore"/>
        <s v="Laptop"/>
        <s v="Movie"/>
        <s v="Uber"/>
        <s v="Gym"/>
        <s v="Haircut"/>
        <s v="Phone"/>
        <s v="Electricity"/>
        <s v="Shoes"/>
        <s v="IPad"/>
        <s v="Mouse"/>
        <s v="Booster Juice"/>
        <s v="Car"/>
        <s v="adfawe" u="1"/>
        <s v="qewrqwea" u="1"/>
        <s v="Brawlhalla" u="1"/>
        <s v="dafweqtg" u="1"/>
        <s v="WATCARD" u="1"/>
        <s v="CHICK-FIL-A" u="1"/>
        <s v="ENGSOC COFFEE" u="1"/>
        <s v="dfaeq" u="1"/>
        <s v="HARVEYS" u="1"/>
        <s v="Kinton Ramen" u="1"/>
        <s v="KABOB HUT" u="1"/>
        <s v="Birthday" u="1"/>
        <s v="CHIPOTLE" u="1"/>
        <s v="Everyday Starbucks" u="1"/>
        <s v="STARBUCKS" u="1"/>
        <s v="FILAS" u="1"/>
        <s v="NURI VILLAGE" u="1"/>
        <s v="afwqer" u="1"/>
        <s v="FRESH BURRITO" u="1"/>
        <s v="qrqer" u="1"/>
        <s v="heleoo" u="1"/>
        <s v="Emergency Fund" u="1"/>
        <s v="COOKING CLUB" u="1"/>
        <s v="POSTERS" u="1"/>
        <s v="CMH" u="1"/>
        <s v="PRESTO CARD" u="1"/>
        <s v="MACHI MACHI" u="1"/>
        <s v="fadqerq" u="1"/>
        <s v="fadf" u="1"/>
        <s v="awer" u="1"/>
        <s v="MEL'S DINER" u="1"/>
      </sharedItems>
    </cacheField>
    <cacheField name="CATEGORY" numFmtId="0">
      <sharedItems count="16">
        <s v="Entertainment"/>
        <s v="Gifts"/>
        <s v="Goals"/>
        <s v="Groceries"/>
        <s v="Shopping"/>
        <s v="Eating Out"/>
        <s v="Housing"/>
        <s v="Utilities"/>
        <s v="Transportation"/>
        <s v="School"/>
        <s v="Health"/>
        <s v="Emergency" u="1"/>
        <s v="For Fun" u="1"/>
        <s v="Travel" u="1"/>
        <s v="Clothes" u="1"/>
        <s v="Travelling" u="1"/>
      </sharedItems>
    </cacheField>
    <cacheField name="AMOUNT" numFmtId="164">
      <sharedItems containsSemiMixedTypes="0" containsString="0" containsNumber="1" minValue="-1000" maxValue="-4.25"/>
    </cacheField>
    <cacheField name="Months (DATE)" numFmtId="0" databaseField="0">
      <fieldGroup base="0">
        <rangePr groupBy="months" startDate="2022-03-15T00:00:00" endDate="2023-12-04T00:00:00"/>
        <groupItems count="14">
          <s v="&lt;2022-03-15"/>
          <s v="Jan"/>
          <s v="Feb"/>
          <s v="Mar"/>
          <s v="Apr"/>
          <s v="May"/>
          <s v="Jun"/>
          <s v="Jul"/>
          <s v="Aug"/>
          <s v="Sep"/>
          <s v="Oct"/>
          <s v="Nov"/>
          <s v="Dec"/>
          <s v="&gt;2023-12-04"/>
        </groupItems>
      </fieldGroup>
    </cacheField>
    <cacheField name="Quarters (DATE)" numFmtId="0" databaseField="0">
      <fieldGroup base="0">
        <rangePr groupBy="quarters" startDate="2022-03-15T00:00:00" endDate="2023-12-04T00:00:00"/>
        <groupItems count="6">
          <s v="&lt;2022-03-15"/>
          <s v="Qtr1"/>
          <s v="Qtr2"/>
          <s v="Qtr3"/>
          <s v="Qtr4"/>
          <s v="&gt;2023-12-04"/>
        </groupItems>
      </fieldGroup>
    </cacheField>
    <cacheField name="Years (DATE)" numFmtId="0" databaseField="0">
      <fieldGroup base="0">
        <rangePr groupBy="years" startDate="2022-03-15T00:00:00" endDate="2023-12-04T00:00:00"/>
        <groupItems count="4">
          <s v="&lt;2022-03-15"/>
          <s v="2022"/>
          <s v="2023"/>
          <s v="&gt;2023-12-04"/>
        </groupItems>
      </fieldGroup>
    </cacheField>
  </cacheFields>
  <extLst>
    <ext xmlns:x14="http://schemas.microsoft.com/office/spreadsheetml/2009/9/main" uri="{725AE2AE-9491-48be-B2B4-4EB974FC3084}">
      <x14:pivotCacheDefinition pivotCacheId="6739775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
  <r>
    <x v="0"/>
    <x v="0"/>
    <x v="0"/>
    <n v="-52"/>
  </r>
  <r>
    <x v="1"/>
    <x v="1"/>
    <x v="1"/>
    <n v="-153.75"/>
  </r>
  <r>
    <x v="2"/>
    <x v="2"/>
    <x v="2"/>
    <n v="-1000"/>
  </r>
  <r>
    <x v="3"/>
    <x v="3"/>
    <x v="3"/>
    <n v="-48.75"/>
  </r>
  <r>
    <x v="4"/>
    <x v="4"/>
    <x v="4"/>
    <n v="-32.200000000000003"/>
  </r>
  <r>
    <x v="5"/>
    <x v="5"/>
    <x v="5"/>
    <n v="137.75"/>
  </r>
  <r>
    <x v="6"/>
    <x v="6"/>
    <x v="5"/>
    <n v="987.5"/>
  </r>
  <r>
    <x v="7"/>
    <x v="7"/>
    <x v="6"/>
    <n v="-4.25"/>
  </r>
  <r>
    <x v="8"/>
    <x v="8"/>
    <x v="6"/>
    <n v="-33.4"/>
  </r>
  <r>
    <x v="9"/>
    <x v="9"/>
    <x v="7"/>
    <n v="-512.29999999999995"/>
  </r>
  <r>
    <x v="10"/>
    <x v="3"/>
    <x v="3"/>
    <n v="-62.4"/>
  </r>
  <r>
    <x v="11"/>
    <x v="10"/>
    <x v="8"/>
    <n v="-56.8"/>
  </r>
  <r>
    <x v="12"/>
    <x v="11"/>
    <x v="9"/>
    <n v="-37.799999999999997"/>
  </r>
  <r>
    <x v="13"/>
    <x v="12"/>
    <x v="0"/>
    <n v="-71.5"/>
  </r>
  <r>
    <x v="14"/>
    <x v="13"/>
    <x v="4"/>
    <n v="-41.6"/>
  </r>
  <r>
    <x v="15"/>
    <x v="7"/>
    <x v="6"/>
    <n v="-6.25"/>
  </r>
  <r>
    <x v="16"/>
    <x v="9"/>
    <x v="7"/>
    <n v="-512.29999999999995"/>
  </r>
  <r>
    <x v="17"/>
    <x v="14"/>
    <x v="10"/>
    <n v="-27.9"/>
  </r>
  <r>
    <x v="18"/>
    <x v="4"/>
    <x v="4"/>
    <n v="-44.6"/>
  </r>
  <r>
    <x v="19"/>
    <x v="15"/>
    <x v="4"/>
    <n v="-763.2"/>
  </r>
  <r>
    <x v="20"/>
    <x v="16"/>
    <x v="0"/>
    <n v="-13.75"/>
  </r>
  <r>
    <x v="21"/>
    <x v="11"/>
    <x v="9"/>
    <n v="-32.75"/>
  </r>
  <r>
    <x v="22"/>
    <x v="17"/>
    <x v="9"/>
    <n v="-12.3"/>
  </r>
  <r>
    <x v="23"/>
    <x v="18"/>
    <x v="11"/>
    <n v="-29.4"/>
  </r>
  <r>
    <x v="24"/>
    <x v="18"/>
    <x v="11"/>
    <n v="-28.9"/>
  </r>
  <r>
    <x v="25"/>
    <x v="19"/>
    <x v="11"/>
    <n v="-22.1"/>
  </r>
  <r>
    <x v="26"/>
    <x v="20"/>
    <x v="8"/>
    <n v="-48.9"/>
  </r>
  <r>
    <x v="27"/>
    <x v="20"/>
    <x v="8"/>
    <n v="-47.6"/>
  </r>
  <r>
    <x v="28"/>
    <x v="21"/>
    <x v="8"/>
    <n v="-36.799999999999997"/>
  </r>
  <r>
    <x v="29"/>
    <x v="5"/>
    <x v="5"/>
    <n v="188.25"/>
  </r>
  <r>
    <x v="30"/>
    <x v="5"/>
    <x v="5"/>
    <n v="174.6"/>
  </r>
  <r>
    <x v="31"/>
    <x v="22"/>
    <x v="4"/>
    <n v="-81.7"/>
  </r>
  <r>
    <x v="32"/>
    <x v="23"/>
    <x v="2"/>
    <n v="-1000"/>
  </r>
  <r>
    <x v="33"/>
    <x v="24"/>
    <x v="10"/>
    <n v="200"/>
  </r>
  <r>
    <x v="34"/>
    <x v="25"/>
    <x v="11"/>
    <n v="125"/>
  </r>
  <r>
    <x v="34"/>
    <x v="26"/>
    <x v="0"/>
    <n v="-57"/>
  </r>
  <r>
    <x v="35"/>
    <x v="27"/>
    <x v="0"/>
    <n v="50"/>
  </r>
  <r>
    <x v="36"/>
    <x v="28"/>
    <x v="6"/>
    <n v="-9.6"/>
  </r>
  <r>
    <x v="37"/>
    <x v="29"/>
    <x v="2"/>
    <n v="-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x v="0"/>
    <x v="0"/>
    <n v="137.75"/>
  </r>
  <r>
    <x v="1"/>
    <x v="1"/>
    <x v="0"/>
    <n v="987.5"/>
  </r>
  <r>
    <x v="2"/>
    <x v="0"/>
    <x v="0"/>
    <n v="188.25"/>
  </r>
  <r>
    <x v="3"/>
    <x v="0"/>
    <x v="0"/>
    <n v="174.6"/>
  </r>
  <r>
    <x v="4"/>
    <x v="2"/>
    <x v="1"/>
    <n v="200"/>
  </r>
  <r>
    <x v="5"/>
    <x v="3"/>
    <x v="2"/>
    <n v="125"/>
  </r>
  <r>
    <x v="6"/>
    <x v="4"/>
    <x v="3"/>
    <n v="5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n v="-52"/>
  </r>
  <r>
    <x v="1"/>
    <x v="1"/>
    <x v="1"/>
    <n v="-153.75"/>
  </r>
  <r>
    <x v="2"/>
    <x v="2"/>
    <x v="2"/>
    <n v="-1000"/>
  </r>
  <r>
    <x v="3"/>
    <x v="3"/>
    <x v="3"/>
    <n v="-48.75"/>
  </r>
  <r>
    <x v="4"/>
    <x v="4"/>
    <x v="4"/>
    <n v="-32.200000000000003"/>
  </r>
  <r>
    <x v="5"/>
    <x v="5"/>
    <x v="5"/>
    <n v="-4.25"/>
  </r>
  <r>
    <x v="6"/>
    <x v="6"/>
    <x v="5"/>
    <n v="-33.4"/>
  </r>
  <r>
    <x v="7"/>
    <x v="7"/>
    <x v="6"/>
    <n v="-512.29999999999995"/>
  </r>
  <r>
    <x v="8"/>
    <x v="3"/>
    <x v="3"/>
    <n v="-62.4"/>
  </r>
  <r>
    <x v="9"/>
    <x v="8"/>
    <x v="7"/>
    <n v="-56.8"/>
  </r>
  <r>
    <x v="10"/>
    <x v="9"/>
    <x v="8"/>
    <n v="-37.799999999999997"/>
  </r>
  <r>
    <x v="11"/>
    <x v="10"/>
    <x v="0"/>
    <n v="-71.5"/>
  </r>
  <r>
    <x v="12"/>
    <x v="11"/>
    <x v="4"/>
    <n v="-41.6"/>
  </r>
  <r>
    <x v="13"/>
    <x v="5"/>
    <x v="5"/>
    <n v="-6.25"/>
  </r>
  <r>
    <x v="14"/>
    <x v="7"/>
    <x v="6"/>
    <n v="-512.29999999999995"/>
  </r>
  <r>
    <x v="15"/>
    <x v="12"/>
    <x v="9"/>
    <n v="-27.9"/>
  </r>
  <r>
    <x v="16"/>
    <x v="4"/>
    <x v="4"/>
    <n v="-44.6"/>
  </r>
  <r>
    <x v="17"/>
    <x v="13"/>
    <x v="4"/>
    <n v="-763.2"/>
  </r>
  <r>
    <x v="18"/>
    <x v="14"/>
    <x v="0"/>
    <n v="-13.75"/>
  </r>
  <r>
    <x v="19"/>
    <x v="9"/>
    <x v="8"/>
    <n v="-32.75"/>
  </r>
  <r>
    <x v="20"/>
    <x v="15"/>
    <x v="8"/>
    <n v="-12.3"/>
  </r>
  <r>
    <x v="21"/>
    <x v="16"/>
    <x v="10"/>
    <n v="-29.4"/>
  </r>
  <r>
    <x v="22"/>
    <x v="16"/>
    <x v="10"/>
    <n v="-28.9"/>
  </r>
  <r>
    <x v="23"/>
    <x v="17"/>
    <x v="10"/>
    <n v="-22.1"/>
  </r>
  <r>
    <x v="24"/>
    <x v="18"/>
    <x v="7"/>
    <n v="-48.9"/>
  </r>
  <r>
    <x v="25"/>
    <x v="18"/>
    <x v="7"/>
    <n v="-47.6"/>
  </r>
  <r>
    <x v="26"/>
    <x v="19"/>
    <x v="7"/>
    <n v="-36.799999999999997"/>
  </r>
  <r>
    <x v="27"/>
    <x v="20"/>
    <x v="4"/>
    <n v="-81.7"/>
  </r>
  <r>
    <x v="28"/>
    <x v="21"/>
    <x v="2"/>
    <n v="-1000"/>
  </r>
  <r>
    <x v="29"/>
    <x v="22"/>
    <x v="0"/>
    <n v="-57"/>
  </r>
  <r>
    <x v="30"/>
    <x v="23"/>
    <x v="5"/>
    <n v="-9.6"/>
  </r>
  <r>
    <x v="31"/>
    <x v="24"/>
    <x v="2"/>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D83CD95-FA03-44A3-A163-826BA5EE9769}" name="ExpensesMain" cacheId="2"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K2:L42" firstHeaderRow="1" firstDataRow="1" firstDataCol="1"/>
  <pivotFields count="7">
    <pivotField axis="axisRow"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axis="axisRow" showAll="0">
      <items count="57">
        <item sd="0" x="4"/>
        <item sd="0" m="1" x="30"/>
        <item sd="0" m="1" x="37"/>
        <item sd="0" m="1" x="47"/>
        <item sd="0" m="1" x="31"/>
        <item sd="0" m="1" x="40"/>
        <item sd="0" m="1" x="43"/>
        <item sd="0" m="1" x="33"/>
        <item sd="0" m="1" x="35"/>
        <item sd="0" m="1" x="51"/>
        <item sd="0" m="1" x="55"/>
        <item sd="0" m="1" x="41"/>
        <item sd="0" m="1" x="48"/>
        <item sd="0" m="1" x="50"/>
        <item sd="0" m="1" x="39"/>
        <item sd="0" m="1" x="29"/>
        <item sd="0" m="1" x="28"/>
        <item sd="0" m="1" x="49"/>
        <item sd="0" x="24"/>
        <item sd="0" m="1" x="34"/>
        <item sd="0" m="1" x="38"/>
        <item sd="0" x="3"/>
        <item sd="0" x="7"/>
        <item sd="0" x="9"/>
        <item sd="0" x="5"/>
        <item sd="0" x="12"/>
        <item sd="0" x="14"/>
        <item sd="0" x="16"/>
        <item sd="0" x="18"/>
        <item sd="0" x="6"/>
        <item sd="0" x="8"/>
        <item sd="0" x="11"/>
        <item sd="0" m="1" x="36"/>
        <item sd="0" x="13"/>
        <item sd="0" x="15"/>
        <item sd="0" x="17"/>
        <item sd="0" x="19"/>
        <item sd="0" x="10"/>
        <item sd="0" x="20"/>
        <item sd="0" m="1" x="46"/>
        <item sd="0" m="1" x="42"/>
        <item sd="0" m="1" x="52"/>
        <item sd="0" m="1" x="44"/>
        <item sd="0" m="1" x="54"/>
        <item sd="0" x="1"/>
        <item sd="0" m="1" x="45"/>
        <item sd="0" x="0"/>
        <item sd="0" x="23"/>
        <item sd="0" m="1" x="53"/>
        <item sd="0" m="1" x="32"/>
        <item x="22"/>
        <item m="1" x="27"/>
        <item x="21"/>
        <item m="1" x="26"/>
        <item m="1" x="25"/>
        <item x="2"/>
        <item t="default"/>
      </items>
    </pivotField>
    <pivotField axis="axisRow" showAll="0">
      <items count="17">
        <item m="1" x="14"/>
        <item x="5"/>
        <item m="1" x="12"/>
        <item x="1"/>
        <item x="9"/>
        <item m="1" x="13"/>
        <item m="1" x="15"/>
        <item x="2"/>
        <item x="3"/>
        <item x="4"/>
        <item x="6"/>
        <item x="8"/>
        <item x="0"/>
        <item x="10"/>
        <item x="7"/>
        <item m="1" x="11"/>
        <item t="default"/>
      </items>
    </pivotField>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x="0"/>
        <item x="1"/>
        <item x="2"/>
        <item x="3"/>
        <item t="default"/>
      </items>
    </pivotField>
  </pivotFields>
  <rowFields count="3">
    <field x="2"/>
    <field x="1"/>
    <field x="0"/>
  </rowFields>
  <rowItems count="40">
    <i>
      <x v="1"/>
    </i>
    <i r="1">
      <x v="24"/>
    </i>
    <i r="1">
      <x v="29"/>
    </i>
    <i r="1">
      <x v="47"/>
    </i>
    <i>
      <x v="3"/>
    </i>
    <i r="1">
      <x v="44"/>
    </i>
    <i>
      <x v="4"/>
    </i>
    <i r="1">
      <x v="25"/>
    </i>
    <i>
      <x v="7"/>
    </i>
    <i r="1">
      <x v="18"/>
    </i>
    <i r="1">
      <x v="52"/>
    </i>
    <i r="2">
      <x v="40"/>
    </i>
    <i r="1">
      <x v="55"/>
    </i>
    <i r="2">
      <x v="68"/>
    </i>
    <i>
      <x v="8"/>
    </i>
    <i r="1">
      <x v="21"/>
    </i>
    <i>
      <x v="9"/>
    </i>
    <i r="1">
      <x/>
    </i>
    <i r="1">
      <x v="31"/>
    </i>
    <i r="1">
      <x v="33"/>
    </i>
    <i r="1">
      <x v="38"/>
    </i>
    <i>
      <x v="10"/>
    </i>
    <i r="1">
      <x v="22"/>
    </i>
    <i>
      <x v="11"/>
    </i>
    <i r="1">
      <x v="23"/>
    </i>
    <i r="1">
      <x v="34"/>
    </i>
    <i>
      <x v="12"/>
    </i>
    <i r="1">
      <x v="26"/>
    </i>
    <i r="1">
      <x v="37"/>
    </i>
    <i r="1">
      <x v="46"/>
    </i>
    <i r="1">
      <x v="50"/>
    </i>
    <i r="2">
      <x v="65"/>
    </i>
    <i>
      <x v="13"/>
    </i>
    <i r="1">
      <x v="27"/>
    </i>
    <i r="1">
      <x v="35"/>
    </i>
    <i>
      <x v="14"/>
    </i>
    <i r="1">
      <x v="28"/>
    </i>
    <i r="1">
      <x v="30"/>
    </i>
    <i r="1">
      <x v="36"/>
    </i>
    <i t="grand">
      <x/>
    </i>
  </rowItems>
  <colItems count="1">
    <i/>
  </colItems>
  <dataFields count="1">
    <dataField name="Sum of AMOUNT" fld="3" baseField="1" baseItem="10" numFmtId="164"/>
  </dataFields>
  <formats count="18">
    <format dxfId="27">
      <pivotArea type="all" dataOnly="0" outline="0" fieldPosition="0"/>
    </format>
    <format dxfId="26">
      <pivotArea outline="0" collapsedLevelsAreSubtotals="1" fieldPosition="0"/>
    </format>
    <format dxfId="25">
      <pivotArea field="2" type="button" dataOnly="0" labelOnly="1" outline="0" axis="axisRow" fieldPosition="0"/>
    </format>
    <format dxfId="24">
      <pivotArea dataOnly="0" labelOnly="1" fieldPosition="0">
        <references count="1">
          <reference field="2" count="0"/>
        </references>
      </pivotArea>
    </format>
    <format dxfId="23">
      <pivotArea dataOnly="0" labelOnly="1" grandRow="1" outline="0" fieldPosition="0"/>
    </format>
    <format dxfId="22">
      <pivotArea dataOnly="0" labelOnly="1" fieldPosition="0">
        <references count="2">
          <reference field="1" count="3">
            <x v="24"/>
            <x v="29"/>
            <x v="47"/>
          </reference>
          <reference field="2" count="1" selected="0">
            <x v="1"/>
          </reference>
        </references>
      </pivotArea>
    </format>
    <format dxfId="21">
      <pivotArea dataOnly="0" labelOnly="1" fieldPosition="0">
        <references count="2">
          <reference field="1" count="1">
            <x v="44"/>
          </reference>
          <reference field="2" count="1" selected="0">
            <x v="3"/>
          </reference>
        </references>
      </pivotArea>
    </format>
    <format dxfId="20">
      <pivotArea dataOnly="0" labelOnly="1" fieldPosition="0">
        <references count="2">
          <reference field="1" count="1">
            <x v="25"/>
          </reference>
          <reference field="2" count="1" selected="0">
            <x v="4"/>
          </reference>
        </references>
      </pivotArea>
    </format>
    <format dxfId="19">
      <pivotArea dataOnly="0" labelOnly="1" fieldPosition="0">
        <references count="2">
          <reference field="1" count="1">
            <x v="18"/>
          </reference>
          <reference field="2" count="1" selected="0">
            <x v="7"/>
          </reference>
        </references>
      </pivotArea>
    </format>
    <format dxfId="18">
      <pivotArea dataOnly="0" labelOnly="1" fieldPosition="0">
        <references count="2">
          <reference field="1" count="1">
            <x v="21"/>
          </reference>
          <reference field="2" count="1" selected="0">
            <x v="8"/>
          </reference>
        </references>
      </pivotArea>
    </format>
    <format dxfId="17">
      <pivotArea dataOnly="0" labelOnly="1" fieldPosition="0">
        <references count="2">
          <reference field="1" count="4">
            <x v="0"/>
            <x v="31"/>
            <x v="33"/>
            <x v="38"/>
          </reference>
          <reference field="2" count="1" selected="0">
            <x v="9"/>
          </reference>
        </references>
      </pivotArea>
    </format>
    <format dxfId="16">
      <pivotArea dataOnly="0" labelOnly="1" fieldPosition="0">
        <references count="2">
          <reference field="1" count="1">
            <x v="22"/>
          </reference>
          <reference field="2" count="1" selected="0">
            <x v="10"/>
          </reference>
        </references>
      </pivotArea>
    </format>
    <format dxfId="15">
      <pivotArea dataOnly="0" labelOnly="1" fieldPosition="0">
        <references count="2">
          <reference field="1" count="2">
            <x v="23"/>
            <x v="34"/>
          </reference>
          <reference field="2" count="1" selected="0">
            <x v="11"/>
          </reference>
        </references>
      </pivotArea>
    </format>
    <format dxfId="14">
      <pivotArea dataOnly="0" labelOnly="1" fieldPosition="0">
        <references count="2">
          <reference field="1" count="4">
            <x v="26"/>
            <x v="37"/>
            <x v="46"/>
            <x v="50"/>
          </reference>
          <reference field="2" count="1" selected="0">
            <x v="12"/>
          </reference>
        </references>
      </pivotArea>
    </format>
    <format dxfId="13">
      <pivotArea dataOnly="0" labelOnly="1" fieldPosition="0">
        <references count="2">
          <reference field="1" count="2">
            <x v="27"/>
            <x v="35"/>
          </reference>
          <reference field="2" count="1" selected="0">
            <x v="13"/>
          </reference>
        </references>
      </pivotArea>
    </format>
    <format dxfId="12">
      <pivotArea dataOnly="0" labelOnly="1" fieldPosition="0">
        <references count="2">
          <reference field="1" count="3">
            <x v="28"/>
            <x v="30"/>
            <x v="36"/>
          </reference>
          <reference field="2" count="1" selected="0">
            <x v="14"/>
          </reference>
        </references>
      </pivotArea>
    </format>
    <format dxfId="11">
      <pivotArea dataOnly="0" labelOnly="1" fieldPosition="0">
        <references count="3">
          <reference field="0" count="1">
            <x v="65"/>
          </reference>
          <reference field="1" count="1" selected="0">
            <x v="50"/>
          </reference>
          <reference field="2" count="1" selected="0">
            <x v="12"/>
          </reference>
        </references>
      </pivotArea>
    </format>
    <format dxfId="10">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DF1A1E3-E805-47C2-8BD4-A42B0353BCB2}" name="IncomeMain" cacheId="1"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I2:J13" firstHeaderRow="1" firstDataRow="1" firstDataCol="1"/>
  <pivotFields count="7">
    <pivotField axis="axisRow"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axis="axisRow" showAll="0">
      <items count="19">
        <item sd="0" m="1" x="6"/>
        <item sd="0" m="1" x="14"/>
        <item sd="0" m="1" x="15"/>
        <item sd="0" m="1" x="8"/>
        <item sd="0" m="1" x="5"/>
        <item sd="0" m="1" x="16"/>
        <item sd="0" m="1" x="13"/>
        <item sd="0" m="1" x="12"/>
        <item sd="0" x="4"/>
        <item sd="0" m="1" x="7"/>
        <item sd="0" m="1" x="11"/>
        <item sd="0" x="2"/>
        <item x="1"/>
        <item sd="0" x="0"/>
        <item sd="0" x="3"/>
        <item sd="0" m="1" x="17"/>
        <item sd="0" m="1" x="10"/>
        <item sd="0" m="1" x="9"/>
        <item t="default"/>
      </items>
    </pivotField>
    <pivotField axis="axisRow" showAll="0">
      <items count="13">
        <item m="1" x="6"/>
        <item m="1" x="7"/>
        <item x="1"/>
        <item x="0"/>
        <item m="1" x="8"/>
        <item m="1" x="5"/>
        <item m="1" x="11"/>
        <item m="1" x="10"/>
        <item m="1" x="9"/>
        <item x="2"/>
        <item m="1" x="4"/>
        <item x="3"/>
        <item t="default"/>
      </items>
    </pivotField>
    <pivotField dataField="1" numFmtId="7"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4">
        <item x="1"/>
        <item x="0"/>
        <item x="2"/>
        <item t="default"/>
      </items>
    </pivotField>
  </pivotFields>
  <rowFields count="3">
    <field x="2"/>
    <field x="1"/>
    <field x="0"/>
  </rowFields>
  <rowItems count="11">
    <i>
      <x v="2"/>
    </i>
    <i r="1">
      <x v="11"/>
    </i>
    <i>
      <x v="3"/>
    </i>
    <i r="1">
      <x v="12"/>
    </i>
    <i r="2">
      <x v="2"/>
    </i>
    <i r="1">
      <x v="13"/>
    </i>
    <i>
      <x v="9"/>
    </i>
    <i r="1">
      <x v="14"/>
    </i>
    <i>
      <x v="11"/>
    </i>
    <i r="1">
      <x v="8"/>
    </i>
    <i t="grand">
      <x/>
    </i>
  </rowItems>
  <colItems count="1">
    <i/>
  </colItems>
  <dataFields count="1">
    <dataField name="Sum of AMOUNT" fld="3" baseField="2" baseItem="0" numFmtId="164"/>
  </dataFields>
  <formats count="8">
    <format dxfId="35">
      <pivotArea type="all" dataOnly="0" outline="0" fieldPosition="0"/>
    </format>
    <format dxfId="34">
      <pivotArea outline="0" collapsedLevelsAreSubtotals="1" fieldPosition="0"/>
    </format>
    <format dxfId="33">
      <pivotArea field="2" type="button" dataOnly="0" labelOnly="1" outline="0" axis="axisRow" fieldPosition="0"/>
    </format>
    <format dxfId="32">
      <pivotArea dataOnly="0" labelOnly="1" fieldPosition="0">
        <references count="1">
          <reference field="2" count="0"/>
        </references>
      </pivotArea>
    </format>
    <format dxfId="31">
      <pivotArea dataOnly="0" labelOnly="1" grandRow="1" outline="0" fieldPosition="0"/>
    </format>
    <format dxfId="30">
      <pivotArea dataOnly="0" labelOnly="1" fieldPosition="0">
        <references count="2">
          <reference field="1" count="2">
            <x v="12"/>
            <x v="13"/>
          </reference>
          <reference field="2" count="1" selected="0">
            <x v="3"/>
          </reference>
        </references>
      </pivotArea>
    </format>
    <format dxfId="29">
      <pivotArea dataOnly="0" labelOnly="1" fieldPosition="0">
        <references count="2">
          <reference field="1" count="1">
            <x v="14"/>
          </reference>
          <reference field="2" count="1" selected="0">
            <x v="9"/>
          </reference>
        </references>
      </pivotArea>
    </format>
    <format dxfId="28">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433CD00-9991-4FED-8EC6-B22BC7880AF0}" name="AllMain" cacheId="0" applyNumberFormats="0" applyBorderFormats="0" applyFontFormats="0" applyPatternFormats="0" applyAlignmentFormats="0" applyWidthHeightFormats="1" dataCaption="Values" updatedVersion="8" minRefreshableVersion="3" disableFieldList="1" enableFieldProperties="0" useAutoFormatting="1" itemPrintTitles="1" createdVersion="8" indent="0" showHeaders="0" outline="1" outlineData="1" multipleFieldFilters="0">
  <location ref="G2:H51" firstHeaderRow="1" firstDataRow="1" firstDataCol="1"/>
  <pivotFields count="7">
    <pivotField axis="axisRow" numFmtId="165" showAll="0">
      <items count="85">
        <item m="1" x="66"/>
        <item m="1" x="79"/>
        <item x="21"/>
        <item m="1" x="49"/>
        <item m="1" x="68"/>
        <item x="23"/>
        <item x="24"/>
        <item m="1" x="76"/>
        <item x="26"/>
        <item m="1" x="56"/>
        <item m="1" x="47"/>
        <item x="27"/>
        <item m="1" x="67"/>
        <item x="28"/>
        <item x="29"/>
        <item m="1" x="41"/>
        <item x="30"/>
        <item m="1" x="72"/>
        <item m="1" x="43"/>
        <item x="31"/>
        <item m="1" x="38"/>
        <item m="1" x="65"/>
        <item m="1" x="63"/>
        <item m="1" x="64"/>
        <item m="1" x="46"/>
        <item x="32"/>
        <item m="1" x="53"/>
        <item m="1" x="60"/>
        <item m="1" x="45"/>
        <item m="1" x="52"/>
        <item m="1" x="48"/>
        <item m="1" x="61"/>
        <item m="1" x="74"/>
        <item m="1" x="78"/>
        <item m="1" x="70"/>
        <item m="1" x="81"/>
        <item x="3"/>
        <item x="4"/>
        <item x="6"/>
        <item x="9"/>
        <item x="12"/>
        <item x="15"/>
        <item x="17"/>
        <item x="20"/>
        <item x="8"/>
        <item x="11"/>
        <item x="14"/>
        <item m="1" x="69"/>
        <item x="19"/>
        <item x="22"/>
        <item x="25"/>
        <item x="5"/>
        <item x="7"/>
        <item x="10"/>
        <item x="13"/>
        <item x="16"/>
        <item x="18"/>
        <item x="34"/>
        <item m="1" x="82"/>
        <item m="1" x="59"/>
        <item m="1" x="58"/>
        <item m="1" x="51"/>
        <item m="1" x="50"/>
        <item m="1" x="57"/>
        <item m="1" x="73"/>
        <item m="1" x="54"/>
        <item m="1" x="62"/>
        <item m="1" x="83"/>
        <item m="1" x="44"/>
        <item m="1" x="80"/>
        <item m="1" x="55"/>
        <item m="1" x="77"/>
        <item x="1"/>
        <item x="0"/>
        <item x="36"/>
        <item m="1" x="40"/>
        <item m="1" x="75"/>
        <item m="1" x="71"/>
        <item x="33"/>
        <item m="1" x="42"/>
        <item m="1" x="39"/>
        <item x="2"/>
        <item x="35"/>
        <item x="37"/>
        <item t="default"/>
      </items>
    </pivotField>
    <pivotField axis="axisRow" showAll="0">
      <items count="79">
        <item sd="0" m="1" x="61"/>
        <item sd="0" x="4"/>
        <item sd="0" m="1" x="44"/>
        <item sd="0" m="1" x="38"/>
        <item sd="0" m="1" x="48"/>
        <item sd="0" m="1" x="66"/>
        <item sd="0" m="1" x="40"/>
        <item sd="0" m="1" x="56"/>
        <item sd="0" m="1" x="54"/>
        <item sd="0" m="1" x="58"/>
        <item sd="0" m="1" x="43"/>
        <item sd="0" m="1" x="42"/>
        <item sd="0" m="1" x="64"/>
        <item sd="0" m="1" x="46"/>
        <item sd="0" m="1" x="36"/>
        <item sd="0" m="1" x="71"/>
        <item sd="0" m="1" x="76"/>
        <item sd="0" m="1" x="55"/>
        <item sd="0" m="1" x="53"/>
        <item sd="0" m="1" x="67"/>
        <item sd="0" m="1" x="70"/>
        <item sd="0" m="1" x="52"/>
        <item sd="0" m="1" x="37"/>
        <item sd="0" m="1" x="62"/>
        <item sd="0" m="1" x="77"/>
        <item sd="0" m="1" x="39"/>
        <item sd="0" m="1" x="75"/>
        <item sd="0" x="27"/>
        <item sd="0" m="1" x="51"/>
        <item sd="0" m="1" x="69"/>
        <item sd="0" m="1" x="35"/>
        <item sd="0" m="1" x="68"/>
        <item sd="0" m="1" x="50"/>
        <item sd="0" x="29"/>
        <item sd="0" m="1" x="45"/>
        <item sd="0" x="24"/>
        <item sd="0" x="3"/>
        <item x="6"/>
        <item sd="0" x="9"/>
        <item sd="0" x="11"/>
        <item sd="0" x="7"/>
        <item x="14"/>
        <item sd="0" x="16"/>
        <item sd="0" x="18"/>
        <item sd="0" x="20"/>
        <item sd="0" x="5"/>
        <item sd="0" x="8"/>
        <item sd="0" x="10"/>
        <item sd="0" x="13"/>
        <item sd="0" m="1" x="47"/>
        <item sd="0" x="15"/>
        <item sd="0" x="17"/>
        <item sd="0" x="19"/>
        <item sd="0" x="21"/>
        <item sd="0" x="12"/>
        <item sd="0" x="22"/>
        <item x="25"/>
        <item sd="0" m="1" x="63"/>
        <item sd="0" m="1" x="57"/>
        <item sd="0" m="1" x="72"/>
        <item sd="0" m="1" x="59"/>
        <item sd="0" m="1" x="74"/>
        <item sd="0" x="1"/>
        <item m="1" x="34"/>
        <item m="1" x="60"/>
        <item n="word" sd="0" x="0"/>
        <item sd="0" x="28"/>
        <item m="1" x="65"/>
        <item m="1" x="73"/>
        <item m="1" x="41"/>
        <item sd="0" m="1" x="49"/>
        <item x="26"/>
        <item m="1" x="33"/>
        <item x="23"/>
        <item m="1" x="32"/>
        <item m="1" x="31"/>
        <item x="2"/>
        <item m="1" x="30"/>
        <item t="default"/>
      </items>
    </pivotField>
    <pivotField axis="axisRow" showAll="0">
      <items count="19">
        <item m="1" x="15"/>
        <item x="6"/>
        <item m="1" x="13"/>
        <item x="1"/>
        <item x="10"/>
        <item m="1" x="14"/>
        <item x="5"/>
        <item x="3"/>
        <item m="1" x="16"/>
        <item m="1" x="17"/>
        <item m="1" x="12"/>
        <item x="2"/>
        <item x="4"/>
        <item x="7"/>
        <item x="9"/>
        <item x="0"/>
        <item x="11"/>
        <item x="8"/>
        <item t="default"/>
      </items>
    </pivotField>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2"/>
        <item x="1"/>
        <item x="0"/>
        <item x="3"/>
        <item t="default"/>
      </items>
    </pivotField>
  </pivotFields>
  <rowFields count="3">
    <field x="2"/>
    <field x="1"/>
    <field x="0"/>
  </rowFields>
  <rowItems count="49">
    <i>
      <x v="1"/>
    </i>
    <i r="1">
      <x v="40"/>
    </i>
    <i r="1">
      <x v="46"/>
    </i>
    <i r="1">
      <x v="66"/>
    </i>
    <i>
      <x v="3"/>
    </i>
    <i r="1">
      <x v="62"/>
    </i>
    <i>
      <x v="4"/>
    </i>
    <i r="1">
      <x v="35"/>
    </i>
    <i r="1">
      <x v="41"/>
    </i>
    <i r="2">
      <x v="42"/>
    </i>
    <i>
      <x v="6"/>
    </i>
    <i r="1">
      <x v="37"/>
    </i>
    <i r="2">
      <x v="38"/>
    </i>
    <i r="1">
      <x v="45"/>
    </i>
    <i>
      <x v="7"/>
    </i>
    <i r="1">
      <x v="36"/>
    </i>
    <i>
      <x v="11"/>
    </i>
    <i r="1">
      <x v="33"/>
    </i>
    <i r="1">
      <x v="73"/>
    </i>
    <i r="2">
      <x v="25"/>
    </i>
    <i r="1">
      <x v="76"/>
    </i>
    <i r="2">
      <x v="81"/>
    </i>
    <i>
      <x v="12"/>
    </i>
    <i r="1">
      <x v="1"/>
    </i>
    <i r="1">
      <x v="48"/>
    </i>
    <i r="1">
      <x v="50"/>
    </i>
    <i r="1">
      <x v="55"/>
    </i>
    <i>
      <x v="13"/>
    </i>
    <i r="1">
      <x v="38"/>
    </i>
    <i>
      <x v="14"/>
    </i>
    <i r="1">
      <x v="39"/>
    </i>
    <i r="1">
      <x v="51"/>
    </i>
    <i>
      <x v="15"/>
    </i>
    <i r="1">
      <x v="27"/>
    </i>
    <i r="1">
      <x v="42"/>
    </i>
    <i r="1">
      <x v="54"/>
    </i>
    <i r="1">
      <x v="65"/>
    </i>
    <i r="1">
      <x v="71"/>
    </i>
    <i r="2">
      <x v="57"/>
    </i>
    <i>
      <x v="16"/>
    </i>
    <i r="1">
      <x v="43"/>
    </i>
    <i r="1">
      <x v="52"/>
    </i>
    <i r="1">
      <x v="56"/>
    </i>
    <i r="2">
      <x v="57"/>
    </i>
    <i>
      <x v="17"/>
    </i>
    <i r="1">
      <x v="44"/>
    </i>
    <i r="1">
      <x v="47"/>
    </i>
    <i r="1">
      <x v="53"/>
    </i>
    <i t="grand">
      <x/>
    </i>
  </rowItems>
  <colItems count="1">
    <i/>
  </colItems>
  <dataFields count="1">
    <dataField name="Sum of AMOUNT" fld="3" baseField="1" baseItem="8" numFmtId="164"/>
  </dataFields>
  <formats count="7">
    <format dxfId="42">
      <pivotArea type="all" dataOnly="0" outline="0" fieldPosition="0"/>
    </format>
    <format dxfId="41">
      <pivotArea outline="0" collapsedLevelsAreSubtotals="1" fieldPosition="0"/>
    </format>
    <format dxfId="40">
      <pivotArea field="2" type="button" dataOnly="0" labelOnly="1" outline="0" axis="axisRow" fieldPosition="0"/>
    </format>
    <format dxfId="39">
      <pivotArea dataOnly="0" labelOnly="1" fieldPosition="0">
        <references count="1">
          <reference field="2" count="1">
            <x v="15"/>
          </reference>
        </references>
      </pivotArea>
    </format>
    <format dxfId="38">
      <pivotArea dataOnly="0" labelOnly="1" grandRow="1" outline="0" fieldPosition="0"/>
    </format>
    <format dxfId="37">
      <pivotArea dataOnly="0" labelOnly="1" fieldPosition="0">
        <references count="2">
          <reference field="1" count="1">
            <x v="65"/>
          </reference>
          <reference field="2" count="1" selected="0">
            <x v="15"/>
          </reference>
        </references>
      </pivotArea>
    </format>
    <format dxfId="36">
      <pivotArea dataOnly="0" labelOnly="1" outline="0" axis="axisValues" fieldPosition="0"/>
    </format>
  </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0CDDA2C-D52E-492F-9BBF-453AD7051616}" name="RunningTotal"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1:B40" firstHeaderRow="1" firstDataRow="1" firstDataCol="1"/>
  <pivotFields count="7">
    <pivotField axis="axisRow" numFmtId="165" showAll="0" sortType="ascending">
      <items count="85">
        <item x="0"/>
        <item m="1" x="66"/>
        <item x="1"/>
        <item x="2"/>
        <item m="1" x="75"/>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x="33"/>
        <item m="1" x="63"/>
        <item m="1" x="53"/>
        <item x="34"/>
        <item x="35"/>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36"/>
        <item m="1" x="40"/>
        <item m="1" x="71"/>
        <item m="1" x="42"/>
        <item m="1" x="39"/>
        <item x="37"/>
        <item t="default"/>
      </items>
    </pivotField>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2"/>
        <item x="1"/>
        <item x="0"/>
        <item x="3"/>
      </items>
    </pivotField>
  </pivotFields>
  <rowFields count="1">
    <field x="0"/>
  </rowFields>
  <rowItems count="39">
    <i>
      <x/>
    </i>
    <i>
      <x v="2"/>
    </i>
    <i>
      <x v="3"/>
    </i>
    <i>
      <x v="5"/>
    </i>
    <i>
      <x v="6"/>
    </i>
    <i>
      <x v="7"/>
    </i>
    <i>
      <x v="8"/>
    </i>
    <i>
      <x v="9"/>
    </i>
    <i>
      <x v="10"/>
    </i>
    <i>
      <x v="11"/>
    </i>
    <i>
      <x v="12"/>
    </i>
    <i>
      <x v="13"/>
    </i>
    <i>
      <x v="14"/>
    </i>
    <i>
      <x v="15"/>
    </i>
    <i>
      <x v="16"/>
    </i>
    <i>
      <x v="17"/>
    </i>
    <i>
      <x v="18"/>
    </i>
    <i>
      <x v="20"/>
    </i>
    <i>
      <x v="21"/>
    </i>
    <i>
      <x v="22"/>
    </i>
    <i>
      <x v="23"/>
    </i>
    <i>
      <x v="25"/>
    </i>
    <i>
      <x v="27"/>
    </i>
    <i>
      <x v="29"/>
    </i>
    <i>
      <x v="30"/>
    </i>
    <i>
      <x v="31"/>
    </i>
    <i>
      <x v="33"/>
    </i>
    <i>
      <x v="36"/>
    </i>
    <i>
      <x v="38"/>
    </i>
    <i>
      <x v="39"/>
    </i>
    <i>
      <x v="41"/>
    </i>
    <i>
      <x v="44"/>
    </i>
    <i>
      <x v="47"/>
    </i>
    <i>
      <x v="50"/>
    </i>
    <i>
      <x v="53"/>
    </i>
    <i>
      <x v="54"/>
    </i>
    <i>
      <x v="78"/>
    </i>
    <i>
      <x v="83"/>
    </i>
    <i t="grand">
      <x/>
    </i>
  </rowItems>
  <colItems count="1">
    <i/>
  </colItems>
  <dataFields count="1">
    <dataField name="Running Total" fld="3" showDataAs="runTotal" baseField="0" baseItem="21" numFmtId="164"/>
  </dataFields>
  <chartFormats count="1">
    <chartFormat chart="3" format="35"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0" type="dateBetween" evalOrder="-1" id="55"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E385B52-DBF3-4029-8C30-60AC6D8F4378}" name="NetPerMonth"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D1:E12" firstHeaderRow="1" firstDataRow="1" firstDataCol="1"/>
  <pivotFields count="7">
    <pivotField numFmtId="14" showAll="0">
      <items count="85">
        <item m="1" x="66"/>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m="1" x="63"/>
        <item m="1" x="53"/>
        <item x="34"/>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1"/>
        <item x="0"/>
        <item x="36"/>
        <item m="1" x="40"/>
        <item m="1" x="75"/>
        <item m="1" x="71"/>
        <item x="33"/>
        <item m="1" x="42"/>
        <item m="1" x="39"/>
        <item x="2"/>
        <item x="35"/>
        <item x="37"/>
        <item t="default"/>
      </items>
    </pivotField>
    <pivotField showAll="0"/>
    <pivotField showAll="0"/>
    <pivotField dataField="1" numFmtId="164" showAll="0"/>
    <pivotField axis="axisRow" showAll="0" defaultSubtotal="0">
      <items count="14">
        <item x="0"/>
        <item x="1"/>
        <item x="2"/>
        <item x="3"/>
        <item x="4"/>
        <item x="5"/>
        <item x="6"/>
        <item x="7"/>
        <item x="8"/>
        <item x="9"/>
        <item x="10"/>
        <item x="11"/>
        <item x="12"/>
        <item x="13"/>
      </items>
    </pivotField>
    <pivotField showAll="0" defaultSubtotal="0">
      <items count="6">
        <item x="1"/>
        <item x="2"/>
        <item x="3"/>
        <item x="4"/>
        <item x="0"/>
        <item x="5"/>
      </items>
    </pivotField>
    <pivotField axis="axisRow" showAll="0" sortType="ascending" defaultSubtotal="0">
      <items count="4">
        <item x="0"/>
        <item x="3"/>
        <item x="1"/>
        <item x="2"/>
      </items>
    </pivotField>
  </pivotFields>
  <rowFields count="2">
    <field x="6"/>
    <field x="4"/>
  </rowFields>
  <rowItems count="11">
    <i>
      <x v="2"/>
    </i>
    <i r="1">
      <x v="3"/>
    </i>
    <i r="1">
      <x v="11"/>
    </i>
    <i r="1">
      <x v="12"/>
    </i>
    <i>
      <x v="3"/>
    </i>
    <i r="1">
      <x v="8"/>
    </i>
    <i r="1">
      <x v="9"/>
    </i>
    <i r="1">
      <x v="10"/>
    </i>
    <i r="1">
      <x v="11"/>
    </i>
    <i r="1">
      <x v="12"/>
    </i>
    <i t="grand">
      <x/>
    </i>
  </rowItems>
  <colItems count="1">
    <i/>
  </colItems>
  <dataFields count="1">
    <dataField name="Net Income Per Month" fld="3" baseField="6" baseItem="1" numFmtId="164"/>
  </dataFields>
  <chartFormats count="1">
    <chartFormat chart="3"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0" type="dateBetween" evalOrder="-1" id="55" name="DATE">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6F585B4-238F-45ED-A875-DDAC29E38567}" name="IncomePivot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D4:E12" firstHeaderRow="1" firstDataRow="1" firstDataCol="1" rowPageCount="2" colPageCount="1"/>
  <pivotFields count="7">
    <pivotField axis="axisRow"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showAll="0"/>
    <pivotField showAll="0"/>
    <pivotField dataField="1" numFmtId="164" showAll="0"/>
    <pivotField axis="axisPage"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axis="axisPage" showAll="0" defaultSubtotal="0">
      <items count="3">
        <item sd="0" x="0"/>
        <item sd="0" x="1"/>
        <item x="2"/>
      </items>
    </pivotField>
  </pivotFields>
  <rowFields count="1">
    <field x="0"/>
  </rowFields>
  <rowItems count="8">
    <i>
      <x v="1"/>
    </i>
    <i>
      <x v="2"/>
    </i>
    <i>
      <x v="6"/>
    </i>
    <i>
      <x v="8"/>
    </i>
    <i>
      <x v="14"/>
    </i>
    <i>
      <x v="17"/>
    </i>
    <i>
      <x v="19"/>
    </i>
    <i t="grand">
      <x/>
    </i>
  </rowItems>
  <colItems count="1">
    <i/>
  </colItems>
  <pageFields count="2">
    <pageField fld="6" hier="-1"/>
    <pageField fld="4" hier="-1"/>
  </pageFields>
  <dataFields count="1">
    <dataField name="Sum of AMOUNT" fld="3" baseField="0" baseItem="1" numFmtId="164"/>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1465360-C2F4-4A1E-AFB5-AC1941D8AD28}" name="IncomePivot1"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6">
  <location ref="A5:B10" firstHeaderRow="1" firstDataRow="1" firstDataCol="1" rowPageCount="2" colPageCount="1"/>
  <pivotFields count="7">
    <pivotField numFmtId="14" showAll="0">
      <items count="21">
        <item m="1" x="11"/>
        <item x="0"/>
        <item x="1"/>
        <item m="1" x="9"/>
        <item m="1" x="13"/>
        <item m="1" x="15"/>
        <item x="2"/>
        <item m="1" x="7"/>
        <item x="3"/>
        <item m="1" x="17"/>
        <item m="1" x="18"/>
        <item m="1" x="14"/>
        <item m="1" x="10"/>
        <item m="1" x="16"/>
        <item x="5"/>
        <item m="1" x="19"/>
        <item m="1" x="12"/>
        <item x="4"/>
        <item m="1" x="8"/>
        <item x="6"/>
        <item t="default"/>
      </items>
    </pivotField>
    <pivotField showAll="0"/>
    <pivotField axis="axisRow" showAll="0">
      <items count="13">
        <item sd="0" m="1" x="5"/>
        <item sd="0" m="1" x="9"/>
        <item sd="0" m="1" x="6"/>
        <item sd="0" m="1" x="7"/>
        <item sd="0" m="1" x="8"/>
        <item x="2"/>
        <item sd="0" m="1" x="11"/>
        <item sd="0" x="1"/>
        <item sd="0" m="1" x="10"/>
        <item x="0"/>
        <item m="1" x="4"/>
        <item x="3"/>
        <item t="default"/>
      </items>
    </pivotField>
    <pivotField dataField="1" numFmtId="164"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axis="axisPage" showAll="0">
      <items count="4">
        <item sd="0" x="1"/>
        <item x="0"/>
        <item x="2"/>
        <item t="default"/>
      </items>
    </pivotField>
  </pivotFields>
  <rowFields count="1">
    <field x="2"/>
  </rowFields>
  <rowItems count="5">
    <i>
      <x v="5"/>
    </i>
    <i>
      <x v="7"/>
    </i>
    <i>
      <x v="9"/>
    </i>
    <i>
      <x v="11"/>
    </i>
    <i t="grand">
      <x/>
    </i>
  </rowItems>
  <colItems count="1">
    <i/>
  </colItems>
  <pageFields count="2">
    <pageField fld="6" hier="-1"/>
    <pageField fld="4" hier="-1"/>
  </pageFields>
  <dataFields count="1">
    <dataField name="Sum of AMOUNT" fld="3" baseField="2" baseItem="5" numFmtId="164"/>
  </dataFields>
  <chartFormats count="7">
    <chartFormat chart="5" format="2"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0"/>
          </reference>
        </references>
      </pivotArea>
    </chartFormat>
    <chartFormat chart="9" format="14">
      <pivotArea type="data" outline="0" fieldPosition="0">
        <references count="2">
          <reference field="4294967294" count="1" selected="0">
            <x v="0"/>
          </reference>
          <reference field="2" count="1" selected="0">
            <x v="5"/>
          </reference>
        </references>
      </pivotArea>
    </chartFormat>
    <chartFormat chart="9" format="15">
      <pivotArea type="data" outline="0" fieldPosition="0">
        <references count="2">
          <reference field="4294967294" count="1" selected="0">
            <x v="0"/>
          </reference>
          <reference field="2" count="1" selected="0">
            <x v="9"/>
          </reference>
        </references>
      </pivotArea>
    </chartFormat>
    <chartFormat chart="9" format="16">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2" count="1" selected="0">
            <x v="7"/>
          </reference>
        </references>
      </pivotArea>
    </chartFormat>
    <chartFormat chart="9" format="18">
      <pivotArea type="data" outline="0" fieldPosition="0">
        <references count="2">
          <reference field="4294967294" count="1" selected="0">
            <x v="0"/>
          </reference>
          <reference field="2" count="1" selected="0">
            <x v="11"/>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17476BD-57FE-4CF6-8515-4FD6C38CF750}" name="ExpensesPivot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4:H37" firstHeaderRow="1" firstDataRow="1" firstDataCol="1" rowPageCount="2" colPageCount="1"/>
  <pivotFields count="7">
    <pivotField axis="axisRow"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showAll="0"/>
    <pivotField dataField="1" numFmtId="164" showAll="0"/>
    <pivotField axis="axisPage"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x="5"/>
      </items>
    </pivotField>
    <pivotField axis="axisPage" showAll="0" defaultSubtotal="0">
      <items count="4">
        <item sd="0" x="0"/>
        <item sd="0" x="1"/>
        <item sd="0" x="2"/>
        <item x="3"/>
      </items>
    </pivotField>
  </pivotFields>
  <rowFields count="1">
    <field x="0"/>
  </rowFields>
  <rowItems count="33">
    <i>
      <x/>
    </i>
    <i>
      <x v="1"/>
    </i>
    <i>
      <x v="3"/>
    </i>
    <i>
      <x v="4"/>
    </i>
    <i>
      <x v="5"/>
    </i>
    <i>
      <x v="6"/>
    </i>
    <i>
      <x v="7"/>
    </i>
    <i>
      <x v="8"/>
    </i>
    <i>
      <x v="9"/>
    </i>
    <i>
      <x v="10"/>
    </i>
    <i>
      <x v="11"/>
    </i>
    <i>
      <x v="12"/>
    </i>
    <i>
      <x v="13"/>
    </i>
    <i>
      <x v="14"/>
    </i>
    <i>
      <x v="16"/>
    </i>
    <i>
      <x v="17"/>
    </i>
    <i>
      <x v="18"/>
    </i>
    <i>
      <x v="19"/>
    </i>
    <i>
      <x v="21"/>
    </i>
    <i>
      <x v="23"/>
    </i>
    <i>
      <x v="25"/>
    </i>
    <i>
      <x v="26"/>
    </i>
    <i>
      <x v="27"/>
    </i>
    <i>
      <x v="29"/>
    </i>
    <i>
      <x v="31"/>
    </i>
    <i>
      <x v="33"/>
    </i>
    <i>
      <x v="38"/>
    </i>
    <i>
      <x v="40"/>
    </i>
    <i>
      <x v="63"/>
    </i>
    <i>
      <x v="65"/>
    </i>
    <i>
      <x v="68"/>
    </i>
    <i>
      <x v="69"/>
    </i>
    <i t="grand">
      <x/>
    </i>
  </rowItems>
  <colItems count="1">
    <i/>
  </colItems>
  <pageFields count="2">
    <pageField fld="6" hier="-1"/>
    <pageField fld="4" hier="-1"/>
  </pageFields>
  <dataFields count="1">
    <dataField name="Sum of AMOUNT" fld="3" baseField="0"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14BBB7C-9E6F-4FBE-9A8E-D16FDF761DF4}" name="ExpensesPivot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9">
  <location ref="D4:E16" firstHeaderRow="1" firstDataRow="1" firstDataCol="1" rowPageCount="2" colPageCount="1"/>
  <pivotFields count="7">
    <pivotField axis="axisPage"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axis="axisRow" showAll="0">
      <items count="17">
        <item m="1" x="14"/>
        <item x="5"/>
        <item x="0"/>
        <item m="1" x="12"/>
        <item x="1"/>
        <item x="2"/>
        <item x="3"/>
        <item x="10"/>
        <item x="6"/>
        <item x="9"/>
        <item x="4"/>
        <item x="8"/>
        <item m="1" x="13"/>
        <item m="1" x="15"/>
        <item x="7"/>
        <item m="1" x="11"/>
        <item t="default"/>
      </items>
    </pivotField>
    <pivotField dataField="1" numFmtId="164"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Page" showAll="0">
      <items count="5">
        <item x="0"/>
        <item x="1"/>
        <item x="2"/>
        <item x="3"/>
        <item t="default"/>
      </items>
    </pivotField>
  </pivotFields>
  <rowFields count="1">
    <field x="2"/>
  </rowFields>
  <rowItems count="12">
    <i>
      <x v="1"/>
    </i>
    <i>
      <x v="2"/>
    </i>
    <i>
      <x v="4"/>
    </i>
    <i>
      <x v="5"/>
    </i>
    <i>
      <x v="6"/>
    </i>
    <i>
      <x v="7"/>
    </i>
    <i>
      <x v="8"/>
    </i>
    <i>
      <x v="9"/>
    </i>
    <i>
      <x v="10"/>
    </i>
    <i>
      <x v="11"/>
    </i>
    <i>
      <x v="14"/>
    </i>
    <i t="grand">
      <x/>
    </i>
  </rowItems>
  <colItems count="1">
    <i/>
  </colItems>
  <pageFields count="2">
    <pageField fld="6" hier="-1"/>
    <pageField fld="0" hier="-1"/>
  </pageFields>
  <dataFields count="1">
    <dataField name="Sum of AMOUNT" fld="3" showDataAs="percentOfTotal" baseField="2" baseItem="1" numFmtId="10"/>
  </dataFields>
  <chartFormats count="36">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2" count="1" selected="0">
            <x v="1"/>
          </reference>
        </references>
      </pivotArea>
    </chartFormat>
    <chartFormat chart="16" format="3">
      <pivotArea type="data" outline="0" fieldPosition="0">
        <references count="2">
          <reference field="4294967294" count="1" selected="0">
            <x v="0"/>
          </reference>
          <reference field="2" count="1" selected="0">
            <x v="2"/>
          </reference>
        </references>
      </pivotArea>
    </chartFormat>
    <chartFormat chart="16" format="4">
      <pivotArea type="data" outline="0" fieldPosition="0">
        <references count="2">
          <reference field="4294967294" count="1" selected="0">
            <x v="0"/>
          </reference>
          <reference field="2" count="1" selected="0">
            <x v="4"/>
          </reference>
        </references>
      </pivotArea>
    </chartFormat>
    <chartFormat chart="16" format="5">
      <pivotArea type="data" outline="0" fieldPosition="0">
        <references count="2">
          <reference field="4294967294" count="1" selected="0">
            <x v="0"/>
          </reference>
          <reference field="2" count="1" selected="0">
            <x v="5"/>
          </reference>
        </references>
      </pivotArea>
    </chartFormat>
    <chartFormat chart="16" format="6">
      <pivotArea type="data" outline="0" fieldPosition="0">
        <references count="2">
          <reference field="4294967294" count="1" selected="0">
            <x v="0"/>
          </reference>
          <reference field="2" count="1" selected="0">
            <x v="6"/>
          </reference>
        </references>
      </pivotArea>
    </chartFormat>
    <chartFormat chart="16" format="7">
      <pivotArea type="data" outline="0" fieldPosition="0">
        <references count="2">
          <reference field="4294967294" count="1" selected="0">
            <x v="0"/>
          </reference>
          <reference field="2" count="1" selected="0">
            <x v="7"/>
          </reference>
        </references>
      </pivotArea>
    </chartFormat>
    <chartFormat chart="16" format="8">
      <pivotArea type="data" outline="0" fieldPosition="0">
        <references count="2">
          <reference field="4294967294" count="1" selected="0">
            <x v="0"/>
          </reference>
          <reference field="2" count="1" selected="0">
            <x v="8"/>
          </reference>
        </references>
      </pivotArea>
    </chartFormat>
    <chartFormat chart="16" format="9">
      <pivotArea type="data" outline="0" fieldPosition="0">
        <references count="2">
          <reference field="4294967294" count="1" selected="0">
            <x v="0"/>
          </reference>
          <reference field="2" count="1" selected="0">
            <x v="9"/>
          </reference>
        </references>
      </pivotArea>
    </chartFormat>
    <chartFormat chart="16" format="10">
      <pivotArea type="data" outline="0" fieldPosition="0">
        <references count="2">
          <reference field="4294967294" count="1" selected="0">
            <x v="0"/>
          </reference>
          <reference field="2" count="1" selected="0">
            <x v="10"/>
          </reference>
        </references>
      </pivotArea>
    </chartFormat>
    <chartFormat chart="16" format="11">
      <pivotArea type="data" outline="0" fieldPosition="0">
        <references count="2">
          <reference field="4294967294" count="1" selected="0">
            <x v="0"/>
          </reference>
          <reference field="2" count="1" selected="0">
            <x v="11"/>
          </reference>
        </references>
      </pivotArea>
    </chartFormat>
    <chartFormat chart="16" format="12">
      <pivotArea type="data" outline="0" fieldPosition="0">
        <references count="2">
          <reference field="4294967294" count="1" selected="0">
            <x v="0"/>
          </reference>
          <reference field="2" count="1" selected="0">
            <x v="14"/>
          </reference>
        </references>
      </pivotArea>
    </chartFormat>
    <chartFormat chart="17" format="13" series="1">
      <pivotArea type="data" outline="0" fieldPosition="0">
        <references count="1">
          <reference field="4294967294" count="1" selected="0">
            <x v="0"/>
          </reference>
        </references>
      </pivotArea>
    </chartFormat>
    <chartFormat chart="17" format="14">
      <pivotArea type="data" outline="0" fieldPosition="0">
        <references count="2">
          <reference field="4294967294" count="1" selected="0">
            <x v="0"/>
          </reference>
          <reference field="2" count="1" selected="0">
            <x v="1"/>
          </reference>
        </references>
      </pivotArea>
    </chartFormat>
    <chartFormat chart="17" format="15">
      <pivotArea type="data" outline="0" fieldPosition="0">
        <references count="2">
          <reference field="4294967294" count="1" selected="0">
            <x v="0"/>
          </reference>
          <reference field="2" count="1" selected="0">
            <x v="2"/>
          </reference>
        </references>
      </pivotArea>
    </chartFormat>
    <chartFormat chart="17" format="16">
      <pivotArea type="data" outline="0" fieldPosition="0">
        <references count="2">
          <reference field="4294967294" count="1" selected="0">
            <x v="0"/>
          </reference>
          <reference field="2" count="1" selected="0">
            <x v="4"/>
          </reference>
        </references>
      </pivotArea>
    </chartFormat>
    <chartFormat chart="17" format="17">
      <pivotArea type="data" outline="0" fieldPosition="0">
        <references count="2">
          <reference field="4294967294" count="1" selected="0">
            <x v="0"/>
          </reference>
          <reference field="2" count="1" selected="0">
            <x v="5"/>
          </reference>
        </references>
      </pivotArea>
    </chartFormat>
    <chartFormat chart="17" format="18">
      <pivotArea type="data" outline="0" fieldPosition="0">
        <references count="2">
          <reference field="4294967294" count="1" selected="0">
            <x v="0"/>
          </reference>
          <reference field="2" count="1" selected="0">
            <x v="6"/>
          </reference>
        </references>
      </pivotArea>
    </chartFormat>
    <chartFormat chart="17" format="19">
      <pivotArea type="data" outline="0" fieldPosition="0">
        <references count="2">
          <reference field="4294967294" count="1" selected="0">
            <x v="0"/>
          </reference>
          <reference field="2" count="1" selected="0">
            <x v="7"/>
          </reference>
        </references>
      </pivotArea>
    </chartFormat>
    <chartFormat chart="17" format="20">
      <pivotArea type="data" outline="0" fieldPosition="0">
        <references count="2">
          <reference field="4294967294" count="1" selected="0">
            <x v="0"/>
          </reference>
          <reference field="2" count="1" selected="0">
            <x v="8"/>
          </reference>
        </references>
      </pivotArea>
    </chartFormat>
    <chartFormat chart="17" format="21">
      <pivotArea type="data" outline="0" fieldPosition="0">
        <references count="2">
          <reference field="4294967294" count="1" selected="0">
            <x v="0"/>
          </reference>
          <reference field="2" count="1" selected="0">
            <x v="9"/>
          </reference>
        </references>
      </pivotArea>
    </chartFormat>
    <chartFormat chart="17" format="22">
      <pivotArea type="data" outline="0" fieldPosition="0">
        <references count="2">
          <reference field="4294967294" count="1" selected="0">
            <x v="0"/>
          </reference>
          <reference field="2" count="1" selected="0">
            <x v="10"/>
          </reference>
        </references>
      </pivotArea>
    </chartFormat>
    <chartFormat chart="17" format="23">
      <pivotArea type="data" outline="0" fieldPosition="0">
        <references count="2">
          <reference field="4294967294" count="1" selected="0">
            <x v="0"/>
          </reference>
          <reference field="2" count="1" selected="0">
            <x v="11"/>
          </reference>
        </references>
      </pivotArea>
    </chartFormat>
    <chartFormat chart="17" format="24">
      <pivotArea type="data" outline="0" fieldPosition="0">
        <references count="2">
          <reference field="4294967294" count="1" selected="0">
            <x v="0"/>
          </reference>
          <reference field="2" count="1" selected="0">
            <x v="14"/>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2">
          <reference field="4294967294" count="1" selected="0">
            <x v="0"/>
          </reference>
          <reference field="2" count="1" selected="0">
            <x v="1"/>
          </reference>
        </references>
      </pivotArea>
    </chartFormat>
    <chartFormat chart="18" format="15">
      <pivotArea type="data" outline="0" fieldPosition="0">
        <references count="2">
          <reference field="4294967294" count="1" selected="0">
            <x v="0"/>
          </reference>
          <reference field="2" count="1" selected="0">
            <x v="2"/>
          </reference>
        </references>
      </pivotArea>
    </chartFormat>
    <chartFormat chart="18" format="16">
      <pivotArea type="data" outline="0" fieldPosition="0">
        <references count="2">
          <reference field="4294967294" count="1" selected="0">
            <x v="0"/>
          </reference>
          <reference field="2" count="1" selected="0">
            <x v="4"/>
          </reference>
        </references>
      </pivotArea>
    </chartFormat>
    <chartFormat chart="18" format="17">
      <pivotArea type="data" outline="0" fieldPosition="0">
        <references count="2">
          <reference field="4294967294" count="1" selected="0">
            <x v="0"/>
          </reference>
          <reference field="2" count="1" selected="0">
            <x v="5"/>
          </reference>
        </references>
      </pivotArea>
    </chartFormat>
    <chartFormat chart="18" format="18">
      <pivotArea type="data" outline="0" fieldPosition="0">
        <references count="2">
          <reference field="4294967294" count="1" selected="0">
            <x v="0"/>
          </reference>
          <reference field="2" count="1" selected="0">
            <x v="6"/>
          </reference>
        </references>
      </pivotArea>
    </chartFormat>
    <chartFormat chart="18" format="19">
      <pivotArea type="data" outline="0" fieldPosition="0">
        <references count="2">
          <reference field="4294967294" count="1" selected="0">
            <x v="0"/>
          </reference>
          <reference field="2" count="1" selected="0">
            <x v="7"/>
          </reference>
        </references>
      </pivotArea>
    </chartFormat>
    <chartFormat chart="18" format="20">
      <pivotArea type="data" outline="0" fieldPosition="0">
        <references count="2">
          <reference field="4294967294" count="1" selected="0">
            <x v="0"/>
          </reference>
          <reference field="2" count="1" selected="0">
            <x v="8"/>
          </reference>
        </references>
      </pivotArea>
    </chartFormat>
    <chartFormat chart="18" format="21">
      <pivotArea type="data" outline="0" fieldPosition="0">
        <references count="2">
          <reference field="4294967294" count="1" selected="0">
            <x v="0"/>
          </reference>
          <reference field="2" count="1" selected="0">
            <x v="9"/>
          </reference>
        </references>
      </pivotArea>
    </chartFormat>
    <chartFormat chart="18" format="22">
      <pivotArea type="data" outline="0" fieldPosition="0">
        <references count="2">
          <reference field="4294967294" count="1" selected="0">
            <x v="0"/>
          </reference>
          <reference field="2" count="1" selected="0">
            <x v="10"/>
          </reference>
        </references>
      </pivotArea>
    </chartFormat>
    <chartFormat chart="18" format="23">
      <pivotArea type="data" outline="0" fieldPosition="0">
        <references count="2">
          <reference field="4294967294" count="1" selected="0">
            <x v="0"/>
          </reference>
          <reference field="2" count="1" selected="0">
            <x v="11"/>
          </reference>
        </references>
      </pivotArea>
    </chartFormat>
    <chartFormat chart="18" format="24">
      <pivotArea type="data" outline="0" fieldPosition="0">
        <references count="2">
          <reference field="4294967294" count="1" selected="0">
            <x v="0"/>
          </reference>
          <reference field="2" count="1" selected="0">
            <x v="14"/>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F6E35A7-572B-45BB-8291-5059DDA2E572}" name="ExpensesPivot1"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A4:B16" firstHeaderRow="1" firstDataRow="1" firstDataCol="1" rowPageCount="2" colPageCount="1"/>
  <pivotFields count="7">
    <pivotField numFmtId="14" showAll="0">
      <items count="71">
        <item x="0"/>
        <item x="1"/>
        <item m="1" x="62"/>
        <item x="3"/>
        <item x="4"/>
        <item x="5"/>
        <item x="6"/>
        <item x="7"/>
        <item x="8"/>
        <item x="9"/>
        <item x="10"/>
        <item x="11"/>
        <item x="12"/>
        <item x="13"/>
        <item x="14"/>
        <item m="1" x="55"/>
        <item x="15"/>
        <item x="16"/>
        <item x="17"/>
        <item x="18"/>
        <item m="1" x="66"/>
        <item x="19"/>
        <item m="1" x="39"/>
        <item x="20"/>
        <item m="1" x="54"/>
        <item x="21"/>
        <item x="22"/>
        <item x="23"/>
        <item m="1" x="63"/>
        <item x="24"/>
        <item m="1" x="47"/>
        <item x="25"/>
        <item m="1" x="53"/>
        <item x="26"/>
        <item m="1" x="60"/>
        <item m="1" x="35"/>
        <item m="1" x="58"/>
        <item m="1" x="34"/>
        <item x="27"/>
        <item m="1" x="44"/>
        <item x="28"/>
        <item m="1" x="43"/>
        <item m="1" x="42"/>
        <item m="1" x="37"/>
        <item m="1" x="38"/>
        <item m="1" x="51"/>
        <item m="1" x="61"/>
        <item m="1" x="65"/>
        <item m="1" x="56"/>
        <item m="1" x="68"/>
        <item m="1" x="50"/>
        <item m="1" x="49"/>
        <item m="1" x="41"/>
        <item m="1" x="40"/>
        <item m="1" x="48"/>
        <item m="1" x="59"/>
        <item m="1" x="45"/>
        <item m="1" x="52"/>
        <item m="1" x="69"/>
        <item m="1" x="36"/>
        <item m="1" x="67"/>
        <item m="1" x="46"/>
        <item m="1" x="64"/>
        <item x="30"/>
        <item m="1" x="33"/>
        <item x="29"/>
        <item m="1" x="57"/>
        <item m="1" x="32"/>
        <item x="2"/>
        <item x="31"/>
        <item t="default"/>
      </items>
    </pivotField>
    <pivotField showAll="0"/>
    <pivotField axis="axisRow" showAll="0">
      <items count="17">
        <item m="1" x="14"/>
        <item x="5"/>
        <item x="0"/>
        <item m="1" x="12"/>
        <item x="1"/>
        <item x="2"/>
        <item x="3"/>
        <item x="10"/>
        <item x="6"/>
        <item x="9"/>
        <item x="4"/>
        <item x="8"/>
        <item m="1" x="13"/>
        <item m="1" x="15"/>
        <item x="7"/>
        <item m="1" x="11"/>
        <item t="default"/>
      </items>
    </pivotField>
    <pivotField dataField="1" numFmtId="164" showAll="0"/>
    <pivotField axis="axisPage"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axis="axisPage" showAll="0">
      <items count="5">
        <item sd="0" x="0"/>
        <item sd="0" x="1"/>
        <item sd="0" x="2"/>
        <item x="3"/>
        <item t="default"/>
      </items>
    </pivotField>
  </pivotFields>
  <rowFields count="1">
    <field x="2"/>
  </rowFields>
  <rowItems count="12">
    <i>
      <x v="1"/>
    </i>
    <i>
      <x v="2"/>
    </i>
    <i>
      <x v="4"/>
    </i>
    <i>
      <x v="5"/>
    </i>
    <i>
      <x v="6"/>
    </i>
    <i>
      <x v="7"/>
    </i>
    <i>
      <x v="8"/>
    </i>
    <i>
      <x v="9"/>
    </i>
    <i>
      <x v="10"/>
    </i>
    <i>
      <x v="11"/>
    </i>
    <i>
      <x v="14"/>
    </i>
    <i t="grand">
      <x/>
    </i>
  </rowItems>
  <colItems count="1">
    <i/>
  </colItems>
  <pageFields count="2">
    <pageField fld="6" hier="-1"/>
    <pageField fld="4" hier="-1"/>
  </pageFields>
  <dataFields count="1">
    <dataField name="Sum of AMOUNT" fld="3" baseField="2" baseItem="5" numFmtId="164"/>
  </dataFields>
  <chartFormats count="1">
    <chartFormat chart="8" format="2"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FB5D072-3DB9-4EDA-B983-F153650E4FB3}" name="By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47" firstHeaderRow="1" firstDataRow="1" firstDataCol="1" rowPageCount="2" colPageCount="1"/>
  <pivotFields count="7">
    <pivotField numFmtId="14" showAll="0">
      <items count="85">
        <item x="0"/>
        <item m="1" x="66"/>
        <item x="1"/>
        <item x="3"/>
        <item x="4"/>
        <item x="5"/>
        <item x="6"/>
        <item x="7"/>
        <item x="8"/>
        <item x="9"/>
        <item x="10"/>
        <item x="11"/>
        <item x="12"/>
        <item x="13"/>
        <item x="14"/>
        <item x="15"/>
        <item x="16"/>
        <item m="1" x="69"/>
        <item x="17"/>
        <item x="18"/>
        <item x="19"/>
        <item x="20"/>
        <item m="1" x="79"/>
        <item x="21"/>
        <item m="1" x="49"/>
        <item x="22"/>
        <item m="1" x="68"/>
        <item x="23"/>
        <item x="24"/>
        <item x="25"/>
        <item m="1" x="76"/>
        <item x="26"/>
        <item m="1" x="56"/>
        <item m="1" x="47"/>
        <item x="27"/>
        <item m="1" x="67"/>
        <item x="28"/>
        <item x="29"/>
        <item m="1" x="41"/>
        <item x="30"/>
        <item m="1" x="72"/>
        <item m="1" x="43"/>
        <item x="31"/>
        <item m="1" x="38"/>
        <item m="1" x="46"/>
        <item x="32"/>
        <item m="1" x="65"/>
        <item m="1" x="64"/>
        <item m="1" x="63"/>
        <item m="1" x="53"/>
        <item x="34"/>
        <item m="1" x="52"/>
        <item m="1" x="60"/>
        <item m="1" x="45"/>
        <item m="1" x="81"/>
        <item m="1" x="48"/>
        <item m="1" x="61"/>
        <item m="1" x="74"/>
        <item m="1" x="78"/>
        <item m="1" x="70"/>
        <item m="1" x="82"/>
        <item m="1" x="59"/>
        <item m="1" x="58"/>
        <item m="1" x="51"/>
        <item m="1" x="50"/>
        <item m="1" x="57"/>
        <item m="1" x="73"/>
        <item m="1" x="54"/>
        <item m="1" x="62"/>
        <item m="1" x="83"/>
        <item m="1" x="44"/>
        <item m="1" x="80"/>
        <item m="1" x="55"/>
        <item m="1" x="77"/>
        <item x="36"/>
        <item m="1" x="40"/>
        <item m="1" x="75"/>
        <item m="1" x="71"/>
        <item x="33"/>
        <item m="1" x="42"/>
        <item m="1" x="39"/>
        <item x="2"/>
        <item x="35"/>
        <item x="37"/>
        <item t="default"/>
      </items>
    </pivotField>
    <pivotField axis="axisRow" showAll="0">
      <items count="79">
        <item m="1" x="69"/>
        <item m="1" x="61"/>
        <item m="1" x="39"/>
        <item m="1" x="57"/>
        <item x="4"/>
        <item m="1" x="74"/>
        <item m="1" x="47"/>
        <item m="1" x="44"/>
        <item x="14"/>
        <item x="28"/>
        <item x="29"/>
        <item m="1" x="38"/>
        <item m="1" x="48"/>
        <item x="1"/>
        <item x="13"/>
        <item m="1" x="68"/>
        <item x="7"/>
        <item x="12"/>
        <item m="1" x="66"/>
        <item x="24"/>
        <item m="1" x="77"/>
        <item m="1" x="35"/>
        <item m="1" x="41"/>
        <item m="1" x="34"/>
        <item x="21"/>
        <item m="1" x="63"/>
        <item m="1" x="40"/>
        <item m="1" x="49"/>
        <item m="1" x="56"/>
        <item m="1" x="50"/>
        <item m="1" x="73"/>
        <item m="1" x="72"/>
        <item m="1" x="54"/>
        <item x="5"/>
        <item m="1" x="58"/>
        <item x="11"/>
        <item x="3"/>
        <item x="18"/>
        <item x="19"/>
        <item m="1" x="43"/>
        <item m="1" x="75"/>
        <item m="1" x="60"/>
        <item x="27"/>
        <item m="1" x="65"/>
        <item m="1" x="62"/>
        <item m="1" x="51"/>
        <item x="25"/>
        <item x="10"/>
        <item m="1" x="42"/>
        <item m="1" x="64"/>
        <item m="1" x="46"/>
        <item m="1" x="45"/>
        <item x="15"/>
        <item m="1" x="36"/>
        <item m="1" x="71"/>
        <item m="1" x="76"/>
        <item x="26"/>
        <item x="16"/>
        <item m="1" x="55"/>
        <item m="1" x="53"/>
        <item x="20"/>
        <item m="1" x="67"/>
        <item m="1" x="70"/>
        <item m="1" x="59"/>
        <item x="9"/>
        <item x="8"/>
        <item x="6"/>
        <item x="22"/>
        <item m="1" x="52"/>
        <item x="17"/>
        <item x="0"/>
        <item m="1" x="37"/>
        <item m="1" x="33"/>
        <item x="23"/>
        <item m="1" x="32"/>
        <item m="1" x="31"/>
        <item x="2"/>
        <item m="1" x="30"/>
        <item t="default"/>
      </items>
    </pivotField>
    <pivotField axis="axisRow" showAll="0">
      <items count="19">
        <item m="1" x="15"/>
        <item x="6"/>
        <item m="1" x="12"/>
        <item x="0"/>
        <item m="1" x="13"/>
        <item x="1"/>
        <item x="2"/>
        <item x="3"/>
        <item x="11"/>
        <item x="7"/>
        <item m="1" x="16"/>
        <item x="10"/>
        <item x="4"/>
        <item x="9"/>
        <item m="1" x="14"/>
        <item m="1" x="17"/>
        <item x="8"/>
        <item x="5"/>
        <item t="default"/>
      </items>
    </pivotField>
    <pivotField dataField="1" numFmtId="164" showAll="0"/>
    <pivotField axis="axisPage" showAll="0" defaultSubtotal="0">
      <items count="14">
        <item x="0"/>
        <item x="1"/>
        <item x="2"/>
        <item x="3"/>
        <item x="4"/>
        <item x="5"/>
        <item x="6"/>
        <item x="7"/>
        <item x="8"/>
        <item x="9"/>
        <item x="10"/>
        <item x="11"/>
        <item x="12"/>
        <item x="13"/>
      </items>
    </pivotField>
    <pivotField showAll="0" defaultSubtotal="0"/>
    <pivotField axis="axisPage" showAll="0" defaultSubtotal="0">
      <items count="4">
        <item x="1"/>
        <item x="2"/>
        <item x="0"/>
        <item x="3"/>
      </items>
    </pivotField>
  </pivotFields>
  <rowFields count="2">
    <field x="2"/>
    <field x="1"/>
  </rowFields>
  <rowItems count="43">
    <i>
      <x v="1"/>
    </i>
    <i r="1">
      <x v="9"/>
    </i>
    <i r="1">
      <x v="16"/>
    </i>
    <i r="1">
      <x v="65"/>
    </i>
    <i>
      <x v="3"/>
    </i>
    <i r="1">
      <x v="17"/>
    </i>
    <i r="1">
      <x v="42"/>
    </i>
    <i r="1">
      <x v="56"/>
    </i>
    <i r="1">
      <x v="57"/>
    </i>
    <i r="1">
      <x v="70"/>
    </i>
    <i>
      <x v="5"/>
    </i>
    <i r="1">
      <x v="13"/>
    </i>
    <i>
      <x v="6"/>
    </i>
    <i r="1">
      <x v="10"/>
    </i>
    <i r="1">
      <x v="73"/>
    </i>
    <i r="1">
      <x v="76"/>
    </i>
    <i>
      <x v="7"/>
    </i>
    <i r="1">
      <x v="36"/>
    </i>
    <i>
      <x v="8"/>
    </i>
    <i r="1">
      <x v="37"/>
    </i>
    <i r="1">
      <x v="38"/>
    </i>
    <i r="1">
      <x v="46"/>
    </i>
    <i>
      <x v="9"/>
    </i>
    <i r="1">
      <x v="64"/>
    </i>
    <i>
      <x v="11"/>
    </i>
    <i r="1">
      <x v="8"/>
    </i>
    <i r="1">
      <x v="19"/>
    </i>
    <i>
      <x v="12"/>
    </i>
    <i r="1">
      <x v="4"/>
    </i>
    <i r="1">
      <x v="14"/>
    </i>
    <i r="1">
      <x v="52"/>
    </i>
    <i r="1">
      <x v="67"/>
    </i>
    <i>
      <x v="13"/>
    </i>
    <i r="1">
      <x v="35"/>
    </i>
    <i r="1">
      <x v="69"/>
    </i>
    <i>
      <x v="16"/>
    </i>
    <i r="1">
      <x v="24"/>
    </i>
    <i r="1">
      <x v="47"/>
    </i>
    <i r="1">
      <x v="60"/>
    </i>
    <i>
      <x v="17"/>
    </i>
    <i r="1">
      <x v="33"/>
    </i>
    <i r="1">
      <x v="66"/>
    </i>
    <i t="grand">
      <x/>
    </i>
  </rowItems>
  <colItems count="1">
    <i/>
  </colItems>
  <pageFields count="2">
    <pageField fld="6" hier="-1"/>
    <pageField fld="4" hier="-1"/>
  </pageFields>
  <dataFields count="1">
    <dataField name="Sum of AMOUNT" fld="3" baseField="2" baseItem="1" numFmtId="164"/>
  </dataFields>
  <pivotTableStyleInfo name="PivotStyleMedium13"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CB0E100C-9EF7-4249-A6E2-DA654E339A57}" sourceName="CATEGORY">
  <pivotTables>
    <pivotTable tabId="33" name="IncomePivot1"/>
  </pivotTables>
  <data>
    <tabular pivotCacheId="1014885049">
      <items count="12">
        <i x="3" s="1"/>
        <i x="2" s="1"/>
        <i x="1" s="1"/>
        <i x="0" s="1"/>
        <i x="5" s="1" nd="1"/>
        <i x="9" s="1" nd="1"/>
        <i x="6" s="1" nd="1"/>
        <i x="7" s="1" nd="1"/>
        <i x="8" s="1" nd="1"/>
        <i x="11" s="1" nd="1"/>
        <i x="4" s="1" nd="1"/>
        <i x="1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A8E78014-ACF9-465A-8503-0C060BDF4BE3}" sourceName="CATEGORY">
  <pivotTables>
    <pivotTable tabId="21" name="ExpensesPivot2"/>
    <pivotTable tabId="21" name="ExpensesPivot1"/>
  </pivotTables>
  <data>
    <tabular pivotCacheId="673977519">
      <items count="16">
        <i x="5" s="1"/>
        <i x="0" s="1"/>
        <i x="1" s="1"/>
        <i x="2" s="1"/>
        <i x="3" s="1"/>
        <i x="10" s="1"/>
        <i x="6" s="1"/>
        <i x="9" s="1"/>
        <i x="4" s="1"/>
        <i x="8" s="1"/>
        <i x="7" s="1"/>
        <i x="14" s="1" nd="1"/>
        <i x="11" s="1" nd="1"/>
        <i x="12" s="1" nd="1"/>
        <i x="13" s="1" nd="1"/>
        <i x="1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CD3515CC-A8A8-469A-9894-5B8AD6D81836}" sourceName="CATEGORY">
  <pivotTables>
    <pivotTable tabId="1" name="AllMain"/>
  </pivotTables>
  <data>
    <tabular pivotCacheId="1663666856">
      <items count="18">
        <i x="6" s="1"/>
        <i x="0" s="1"/>
        <i x="1" s="1"/>
        <i x="2" s="1"/>
        <i x="3" s="1"/>
        <i x="11" s="1"/>
        <i x="7" s="1"/>
        <i x="10" s="1"/>
        <i x="4" s="1"/>
        <i x="9" s="1"/>
        <i x="8" s="1"/>
        <i x="5" s="1"/>
        <i x="15" s="1" nd="1"/>
        <i x="12" s="1" nd="1"/>
        <i x="13" s="1" nd="1"/>
        <i x="16" s="1" nd="1"/>
        <i x="14" s="1" nd="1"/>
        <i x="1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3" xr10:uid="{70E453D4-2B18-49E4-B9E3-FF98693E0DBB}" sourceName="CATEGORY">
  <pivotTables>
    <pivotTable tabId="1" name="IncomeMain"/>
  </pivotTables>
  <data>
    <tabular pivotCacheId="1014885049">
      <items count="12">
        <i x="3" s="1"/>
        <i x="2" s="1"/>
        <i x="1" s="1"/>
        <i x="0" s="1"/>
        <i x="5" s="1" nd="1"/>
        <i x="9" s="1" nd="1"/>
        <i x="6" s="1" nd="1"/>
        <i x="7" s="1" nd="1"/>
        <i x="8" s="1" nd="1"/>
        <i x="11" s="1" nd="1"/>
        <i x="4" s="1" nd="1"/>
        <i x="1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4" xr10:uid="{3AB44F49-DF58-4BD3-BB09-CEC84AE52605}" sourceName="CATEGORY">
  <pivotTables>
    <pivotTable tabId="1" name="ExpensesMain"/>
  </pivotTables>
  <data>
    <tabular pivotCacheId="673977519">
      <items count="16">
        <i x="5" s="1"/>
        <i x="0" s="1"/>
        <i x="1" s="1"/>
        <i x="2" s="1"/>
        <i x="3" s="1"/>
        <i x="10" s="1"/>
        <i x="6" s="1"/>
        <i x="9" s="1"/>
        <i x="4" s="1"/>
        <i x="8" s="1"/>
        <i x="7" s="1"/>
        <i x="14" s="1" nd="1"/>
        <i x="11" s="1" nd="1"/>
        <i x="12" s="1" nd="1"/>
        <i x="13" s="1" nd="1"/>
        <i x="1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489700D5-B6E1-4BC8-977F-CFE2F9DB9FE0}" sourceName="Months (DATE)">
  <pivotTables>
    <pivotTable tabId="1" name="AllMain"/>
  </pivotTables>
  <data>
    <tabular pivotCacheId="1663666856">
      <items count="14">
        <i x="3" s="1"/>
        <i x="8" s="1"/>
        <i x="9" s="1"/>
        <i x="10" s="1"/>
        <i x="11" s="1"/>
        <i x="12" s="1"/>
        <i x="1" s="1" nd="1"/>
        <i x="2"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1" xr10:uid="{66039B72-3B2D-42D1-9D70-07D63B00BD1B}" sourceName="Months (DATE)">
  <pivotTables>
    <pivotTable tabId="1" name="IncomeMain"/>
  </pivotTables>
  <data>
    <tabular pivotCacheId="1014885049">
      <items count="14">
        <i x="8" s="1"/>
        <i x="10" s="1"/>
        <i x="11" s="1"/>
        <i x="1" s="1" nd="1"/>
        <i x="2" s="1" nd="1"/>
        <i x="3" s="1" nd="1"/>
        <i x="4" s="1" nd="1"/>
        <i x="5" s="1" nd="1"/>
        <i x="6" s="1" nd="1"/>
        <i x="7" s="1" nd="1"/>
        <i x="9"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2" xr10:uid="{DE6D4692-BB73-47B8-B85F-E35362FDA30A}" sourceName="Months (DATE)">
  <pivotTables>
    <pivotTable tabId="1" name="ExpensesMain"/>
  </pivotTables>
  <data>
    <tabular pivotCacheId="673977519">
      <items count="14">
        <i x="3" s="1"/>
        <i x="8" s="1"/>
        <i x="9" s="1"/>
        <i x="10" s="1"/>
        <i x="11" s="1"/>
        <i x="12" s="1"/>
        <i x="1" s="1" nd="1"/>
        <i x="2" s="1" nd="1"/>
        <i x="4" s="1" nd="1"/>
        <i x="5" s="1" nd="1"/>
        <i x="6" s="1" nd="1"/>
        <i x="7" s="1" nd="1"/>
        <i x="0" s="1" nd="1"/>
        <i x="13"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1CACC8F7-2B04-4012-BDA1-D1A11891A6C8}" sourceName="Years (DATE)">
  <pivotTables>
    <pivotTable tabId="1" name="AllMain"/>
  </pivotTables>
  <data>
    <tabular pivotCacheId="1663666856">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1" xr10:uid="{4E407BC7-349E-4265-A905-F21BE5A54BD6}" sourceName="Years (DATE)">
  <pivotTables>
    <pivotTable tabId="1" name="IncomeMain"/>
  </pivotTables>
  <data>
    <tabular pivotCacheId="1014885049">
      <items count="3">
        <i x="1" s="1"/>
        <i x="0" s="1" nd="1"/>
        <i x="2"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2" xr10:uid="{8AF3DFF3-4FC9-4BDC-AAAF-A899E232A6F5}" sourceName="Years (DATE)">
  <pivotTables>
    <pivotTable tabId="1" name="ExpensesMain"/>
  </pivotTables>
  <data>
    <tabular pivotCacheId="673977519">
      <items count="4">
        <i x="1" s="1"/>
        <i x="2" s="1"/>
        <i x="0"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B6A7F76-61CD-427D-ACCE-754879A440C6}" cache="Slicer_CATEGORY2" caption="ALL CATEGORY" style="SlicerStyleLight5" rowHeight="233363"/>
  <slicer name="CATEGORY 3" xr10:uid="{3BBCFCB5-E1CA-4525-A1A6-DD852C7AC0EC}" cache="Slicer_CATEGORY3" caption="INCOME CATEGORY" style="SlicerStyleLight5" rowHeight="233363"/>
  <slicer name="CATEGORY 4" xr10:uid="{22437BB0-F749-4ABF-9871-B00DFAAF651C}" cache="Slicer_CATEGORY4" caption="EXPENSE CATEGORY" style="SlicerStyleLight5" rowHeight="233363"/>
  <slicer name="Months (DATE)" xr10:uid="{87B5E787-C036-430D-940D-2DA17B72072F}" cache="Slicer_Months__DATE" caption="ALL MONTHS" style="SlicerStyleLight5" rowHeight="233363"/>
  <slicer name="Months (DATE) 1" xr10:uid="{5D92D147-A2C0-4AA4-AA66-A149A2248B42}" cache="Slicer_Months__DATE1" caption="INCOME MONTHS" style="SlicerStyleLight5" rowHeight="233363"/>
  <slicer name="Months (DATE) 2" xr10:uid="{5E8EE861-2B05-483C-956A-262A86BB4E23}" cache="Slicer_Months__DATE2" caption="EXPENSES MONTHS" style="SlicerStyleLight5" rowHeight="233363"/>
  <slicer name="Years (DATE)" xr10:uid="{F9A36A9F-3575-4AC0-A893-C9263B96CCE8}" cache="Slicer_Years__DATE" caption="ALL YEARS" style="SlicerStyleLight5" rowHeight="233363"/>
  <slicer name="Years (DATE) 1" xr10:uid="{98B5642A-D752-4683-98E0-8CDCAAE31DDC}" cache="Slicer_Years__DATE1" caption="INCOME YEARS" style="SlicerStyleLight5" rowHeight="233363"/>
  <slicer name="Years (DATE) 2" xr10:uid="{5D9EC9F8-C93B-438D-9387-0ECD60BF9319}" cache="Slicer_Years__DATE2" caption="EXPENSES YEARS" style="SlicerStyleLight5" rowHeight="23336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0BBC31FD-49E4-44A8-BD77-C939E7E5B76D}" cache="Slicer_CATEGORY1" caption="CATEGORY" rowHeight="241300"/>
  <slicer name="CATEGORY" xr10:uid="{7645B6C4-1454-43D4-8294-B3B6429EDAF9}" cache="Slicer_CATEGORY" caption="CATEGORY"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2B03D9-58AB-425E-83ED-994EAA2DAA21}" name="FinancialGoals" displayName="FinancialGoals" ref="B19:F22" totalsRowShown="0">
  <autoFilter ref="B19:F22" xr:uid="{692B03D9-58AB-425E-83ED-994EAA2DAA21}"/>
  <tableColumns count="5">
    <tableColumn id="1" xr3:uid="{1BB70609-4613-4998-BF37-458F84F23A15}" name="GOAL"/>
    <tableColumn id="2" xr3:uid="{BAA0969B-B746-4EB8-950F-68816C650CF5}" name="GOAL AMOUNT" dataDxfId="9"/>
    <tableColumn id="3" xr3:uid="{843AECB9-BED3-4E8B-A8BB-97F1DAB99234}" name="COMPLETE BY" dataDxfId="8"/>
    <tableColumn id="4" xr3:uid="{C7F990AD-F304-408B-848F-19B051A9D24A}" name="CURRENT PROGRESS" dataDxfId="7"/>
    <tableColumn id="5" xr3:uid="{8F7FEFF4-EE7A-41E3-B3C9-A6E3F440F59A}" name="% COMPLETE" dataDxfId="6">
      <calculatedColumnFormula>$E20/$C20</calculatedColumnFormula>
    </tableColumn>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FE5CF6A-3F56-49CB-AF57-0444D01BBB58}" name="CombinedTable" displayName="CombinedTable" ref="A1:D40" totalsRowShown="0">
  <autoFilter ref="A1:D40" xr:uid="{0FE5CF6A-3F56-49CB-AF57-0444D01BBB58}"/>
  <sortState xmlns:xlrd2="http://schemas.microsoft.com/office/spreadsheetml/2017/richdata2" ref="A2:D33">
    <sortCondition ref="A1:A33"/>
  </sortState>
  <tableColumns count="4">
    <tableColumn id="1" xr3:uid="{54757B43-C615-4252-B23D-FBB5300F8477}" name="DATE" dataDxfId="5"/>
    <tableColumn id="2" xr3:uid="{C1FA71D5-CB5D-4941-9519-C0A841B562AC}" name="SOURCE"/>
    <tableColumn id="3" xr3:uid="{C54C194F-6080-4CAE-9C48-218CF424BA57}" name="CATEGORY"/>
    <tableColumn id="4" xr3:uid="{D7C571EA-BB69-4B4F-B44A-1F010DCACCEE}" name="AMOUNT"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DAEC816-D5D3-4560-93C7-EFDC1F7E52A7}" name="IncomeTable" displayName="IncomeTable" ref="A1:D8" totalsRowShown="0">
  <autoFilter ref="A1:D8" xr:uid="{2DAEC816-D5D3-4560-93C7-EFDC1F7E52A7}"/>
  <tableColumns count="4">
    <tableColumn id="1" xr3:uid="{4F235734-93C9-429E-B53B-3A5CB2586730}" name="DATE" dataDxfId="3"/>
    <tableColumn id="2" xr3:uid="{02EC3FF3-FD0A-4C11-ABA3-0989A5B9E477}" name="SOURCE"/>
    <tableColumn id="3" xr3:uid="{1835B5F7-8ED0-4AA2-A041-1F1D0A475B22}" name="CATEGORY"/>
    <tableColumn id="4" xr3:uid="{915D81BD-C920-479A-81B3-A7A5CC2B504B}" name="AMOUNT" dataDxfId="2"/>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949C965-213C-40F7-BB57-F5F0500384ED}" name="ExpensesTable" displayName="ExpensesTable" ref="A1:D33" totalsRowShown="0">
  <autoFilter ref="A1:D33" xr:uid="{9949C965-213C-40F7-BB57-F5F0500384ED}"/>
  <tableColumns count="4">
    <tableColumn id="1" xr3:uid="{906C5029-39D7-4842-AB7C-4EBC2131350E}" name="DATE" dataDxfId="1"/>
    <tableColumn id="2" xr3:uid="{4373F24C-7CAA-4C81-BDF9-5BAA98F1B648}" name="SOURCE"/>
    <tableColumn id="3" xr3:uid="{5F2B8E57-AEE2-4080-8FC2-2FFC8B3ECE14}" name="CATEGORY"/>
    <tableColumn id="4" xr3:uid="{01E2A22C-74AD-439C-93D0-A30A753C8A5E}" name="AMOUNT" dataDxfId="0"/>
  </tableColumns>
  <tableStyleInfo name="TableStyleMedium6"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1" xr10:uid="{A83C3A51-7C6E-439D-95B5-5C123167D962}" sourceName="DATE">
  <pivotTables>
    <pivotTable tabId="25" name="RunningTotal"/>
    <pivotTable tabId="25" name="NetPerMonth"/>
  </pivotTables>
  <state minimalRefreshVersion="6" lastRefreshVersion="6" pivotCacheId="1663666856" filterType="dateBetween">
    <selection startDate="2022-01-01T00:00:00" endDate="2023-12-31T00:00:00"/>
    <bounds startDate="2022-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2" xr10:uid="{42C4C19C-70BB-485C-A3F0-BB6940873ED7}" sourceName="DATE">
  <pivotTables>
    <pivotTable tabId="33" name="IncomePivot1"/>
  </pivotTables>
  <state minimalRefreshVersion="6" lastRefreshVersion="6" pivotCacheId="1014885049" filterType="unknown">
    <bounds startDate="2022-01-01T00:00:00" endDate="202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B173336B-646A-4413-95C8-1AD725AC6972}" sourceName="DATE">
  <pivotTables>
    <pivotTable tabId="21" name="ExpensesPivot1"/>
    <pivotTable tabId="21" name="ExpensesPivot2"/>
  </pivotTables>
  <state minimalRefreshVersion="6" lastRefreshVersion="6" pivotCacheId="673977519" filterType="unknown">
    <bounds startDate="2022-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0E254472-6846-4571-8717-E92A6EAD8311}" cache="NativeTimeline_DATE1" caption="DATE" level="2" selectionLevel="0" scrollPosition="2022-01-01T00:00:00"/>
  <timeline name="DATE 1" xr10:uid="{32D57E4B-A1C8-4AE6-B4C0-DCE9C0F065B8}" cache="NativeTimeline_DATE2" caption="DATE" level="2" selectionLevel="2" scrollPosition="2023-01-01T00:00:00"/>
  <timeline name="DATE" xr10:uid="{1B659F28-C2CC-461F-A713-CF55DDF8B2D3}" cache="NativeTimeline_DATE" caption="DATE" level="2" selectionLevel="2" scrollPosition="2022-03-05T00:00:00"/>
</timelines>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7.xml"/><Relationship Id="rId26" Type="http://schemas.openxmlformats.org/officeDocument/2006/relationships/control" Target="../activeX/activeX11.xml"/><Relationship Id="rId21" Type="http://schemas.openxmlformats.org/officeDocument/2006/relationships/image" Target="../media/image9.emf"/><Relationship Id="rId34" Type="http://schemas.openxmlformats.org/officeDocument/2006/relationships/control" Target="../activeX/activeX15.xml"/><Relationship Id="rId7" Type="http://schemas.openxmlformats.org/officeDocument/2006/relationships/image" Target="../media/image2.emf"/><Relationship Id="rId12" Type="http://schemas.openxmlformats.org/officeDocument/2006/relationships/control" Target="../activeX/activeX4.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2" Type="http://schemas.openxmlformats.org/officeDocument/2006/relationships/pivotTable" Target="../pivotTables/pivotTable2.xm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3.emf"/><Relationship Id="rId1" Type="http://schemas.openxmlformats.org/officeDocument/2006/relationships/pivotTable" Target="../pivotTables/pivotTable1.xml"/><Relationship Id="rId6" Type="http://schemas.openxmlformats.org/officeDocument/2006/relationships/control" Target="../activeX/activeX1.xml"/><Relationship Id="rId11" Type="http://schemas.openxmlformats.org/officeDocument/2006/relationships/image" Target="../media/image4.emf"/><Relationship Id="rId24" Type="http://schemas.openxmlformats.org/officeDocument/2006/relationships/control" Target="../activeX/activeX10.xml"/><Relationship Id="rId32" Type="http://schemas.openxmlformats.org/officeDocument/2006/relationships/control" Target="../activeX/activeX14.xml"/><Relationship Id="rId37" Type="http://schemas.microsoft.com/office/2007/relationships/slicer" Target="../slicers/slicer1.xml"/><Relationship Id="rId5" Type="http://schemas.openxmlformats.org/officeDocument/2006/relationships/vmlDrawing" Target="../drawings/vmlDrawing1.v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2.xml"/><Relationship Id="rId36" Type="http://schemas.openxmlformats.org/officeDocument/2006/relationships/table" Target="../tables/table1.xml"/><Relationship Id="rId10" Type="http://schemas.openxmlformats.org/officeDocument/2006/relationships/control" Target="../activeX/activeX3.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drawing" Target="../drawings/drawing1.xml"/><Relationship Id="rId9" Type="http://schemas.openxmlformats.org/officeDocument/2006/relationships/image" Target="../media/image3.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2.emf"/><Relationship Id="rId30" Type="http://schemas.openxmlformats.org/officeDocument/2006/relationships/control" Target="../activeX/activeX13.xml"/><Relationship Id="rId35" Type="http://schemas.openxmlformats.org/officeDocument/2006/relationships/image" Target="../media/image16.emf"/><Relationship Id="rId8" Type="http://schemas.openxmlformats.org/officeDocument/2006/relationships/control" Target="../activeX/activeX2.xml"/><Relationship Id="rId3" Type="http://schemas.openxmlformats.org/officeDocument/2006/relationships/pivotTable" Target="../pivotTables/pivotTable3.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10.xml"/><Relationship Id="rId2" Type="http://schemas.openxmlformats.org/officeDocument/2006/relationships/pivotTable" Target="../pivotTables/pivotTable9.xml"/><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8D7A1-75C3-47E7-9340-6A09014F40F7}">
  <sheetPr codeName="Sheet1"/>
  <dimension ref="B1:L51"/>
  <sheetViews>
    <sheetView tabSelected="1" zoomScale="96" zoomScaleNormal="96" workbookViewId="0">
      <selection activeCell="D31" sqref="D31"/>
    </sheetView>
  </sheetViews>
  <sheetFormatPr defaultRowHeight="13.9" x14ac:dyDescent="0.4"/>
  <cols>
    <col min="1" max="1" width="8.5" customWidth="1"/>
    <col min="2" max="2" width="19.75" customWidth="1"/>
    <col min="3" max="3" width="15.5" customWidth="1"/>
    <col min="4" max="4" width="13.875" customWidth="1"/>
    <col min="5" max="5" width="20.5" customWidth="1"/>
    <col min="6" max="6" width="23.25" customWidth="1"/>
    <col min="7" max="7" width="16.5625" bestFit="1" customWidth="1"/>
    <col min="8" max="8" width="13.8125" bestFit="1" customWidth="1"/>
    <col min="9" max="9" width="16.5625" bestFit="1" customWidth="1"/>
    <col min="10" max="10" width="13.8125" bestFit="1" customWidth="1"/>
    <col min="11" max="11" width="15.9375" bestFit="1" customWidth="1"/>
    <col min="12" max="12" width="13.8125" bestFit="1" customWidth="1"/>
    <col min="13" max="13" width="13.125" bestFit="1" customWidth="1"/>
    <col min="14" max="14" width="13.75" bestFit="1" customWidth="1"/>
    <col min="16" max="16" width="17.875" customWidth="1"/>
    <col min="17" max="17" width="15.625" customWidth="1"/>
    <col min="18" max="18" width="17.875" customWidth="1"/>
    <col min="19" max="20" width="19.125" customWidth="1"/>
    <col min="21" max="22" width="8.5"/>
  </cols>
  <sheetData>
    <row r="1" spans="3:12" x14ac:dyDescent="0.4">
      <c r="G1" s="18" t="s">
        <v>25</v>
      </c>
      <c r="H1" s="18"/>
      <c r="I1" s="18" t="s">
        <v>13</v>
      </c>
      <c r="J1" s="18"/>
      <c r="K1" s="18" t="s">
        <v>18</v>
      </c>
      <c r="L1" s="18"/>
    </row>
    <row r="2" spans="3:12" x14ac:dyDescent="0.4">
      <c r="H2" s="14" t="s">
        <v>20</v>
      </c>
      <c r="J2" s="14" t="s">
        <v>20</v>
      </c>
      <c r="L2" s="14" t="s">
        <v>20</v>
      </c>
    </row>
    <row r="3" spans="3:12" x14ac:dyDescent="0.4">
      <c r="G3" s="5" t="s">
        <v>26</v>
      </c>
      <c r="H3" s="3">
        <v>-53.5</v>
      </c>
      <c r="I3" s="11" t="s">
        <v>5</v>
      </c>
      <c r="J3" s="3">
        <v>200</v>
      </c>
      <c r="K3" s="11" t="s">
        <v>26</v>
      </c>
      <c r="L3" s="3">
        <v>-53.5</v>
      </c>
    </row>
    <row r="4" spans="3:12" x14ac:dyDescent="0.4">
      <c r="G4" s="6" t="s">
        <v>36</v>
      </c>
      <c r="H4" s="3">
        <v>-10.5</v>
      </c>
      <c r="I4" s="6" t="s">
        <v>65</v>
      </c>
      <c r="J4" s="3">
        <v>200</v>
      </c>
      <c r="K4" s="6" t="s">
        <v>36</v>
      </c>
      <c r="L4" s="3">
        <v>-10.5</v>
      </c>
    </row>
    <row r="5" spans="3:12" x14ac:dyDescent="0.4">
      <c r="G5" s="6" t="s">
        <v>42</v>
      </c>
      <c r="H5" s="3">
        <v>-33.4</v>
      </c>
      <c r="I5" s="11" t="s">
        <v>12</v>
      </c>
      <c r="J5" s="3">
        <v>1488.1</v>
      </c>
      <c r="K5" s="6" t="s">
        <v>42</v>
      </c>
      <c r="L5" s="3">
        <v>-33.4</v>
      </c>
    </row>
    <row r="6" spans="3:12" x14ac:dyDescent="0.4">
      <c r="G6" s="6" t="s">
        <v>63</v>
      </c>
      <c r="H6" s="3">
        <v>-9.6</v>
      </c>
      <c r="I6" s="13" t="s">
        <v>33</v>
      </c>
      <c r="J6" s="3">
        <v>987.5</v>
      </c>
      <c r="K6" s="13" t="s">
        <v>63</v>
      </c>
      <c r="L6" s="3">
        <v>-9.6</v>
      </c>
    </row>
    <row r="7" spans="3:12" x14ac:dyDescent="0.4">
      <c r="C7" t="s">
        <v>67</v>
      </c>
      <c r="G7" s="5" t="s">
        <v>8</v>
      </c>
      <c r="H7" s="3">
        <v>-153.75</v>
      </c>
      <c r="I7" s="17">
        <v>45164</v>
      </c>
      <c r="J7" s="3">
        <v>987.5</v>
      </c>
      <c r="K7" s="11" t="s">
        <v>8</v>
      </c>
      <c r="L7" s="3">
        <v>-153.75</v>
      </c>
    </row>
    <row r="8" spans="3:12" x14ac:dyDescent="0.4">
      <c r="G8" s="6" t="s">
        <v>59</v>
      </c>
      <c r="H8" s="3">
        <v>-153.75</v>
      </c>
      <c r="I8" s="13" t="s">
        <v>41</v>
      </c>
      <c r="J8" s="3">
        <v>500.6</v>
      </c>
      <c r="K8" s="13" t="s">
        <v>59</v>
      </c>
      <c r="L8" s="3">
        <v>-153.75</v>
      </c>
    </row>
    <row r="9" spans="3:12" x14ac:dyDescent="0.4">
      <c r="G9" s="5" t="s">
        <v>5</v>
      </c>
      <c r="H9" s="3">
        <v>172.1</v>
      </c>
      <c r="I9" s="11" t="s">
        <v>30</v>
      </c>
      <c r="J9" s="3">
        <v>125</v>
      </c>
      <c r="K9" s="11" t="s">
        <v>5</v>
      </c>
      <c r="L9" s="3">
        <v>-27.9</v>
      </c>
    </row>
    <row r="10" spans="3:12" x14ac:dyDescent="0.4">
      <c r="G10" s="6" t="s">
        <v>65</v>
      </c>
      <c r="H10" s="3">
        <v>200</v>
      </c>
      <c r="I10" s="13" t="s">
        <v>51</v>
      </c>
      <c r="J10" s="3">
        <v>125</v>
      </c>
      <c r="K10" s="13" t="s">
        <v>37</v>
      </c>
      <c r="L10" s="3">
        <v>-27.9</v>
      </c>
    </row>
    <row r="11" spans="3:12" x14ac:dyDescent="0.4">
      <c r="G11" s="6" t="s">
        <v>37</v>
      </c>
      <c r="H11" s="3">
        <v>-27.9</v>
      </c>
      <c r="I11" s="11" t="s">
        <v>29</v>
      </c>
      <c r="J11" s="3">
        <v>50</v>
      </c>
      <c r="K11" s="11" t="s">
        <v>70</v>
      </c>
      <c r="L11" s="3">
        <v>-2100</v>
      </c>
    </row>
    <row r="12" spans="3:12" x14ac:dyDescent="0.4">
      <c r="G12" s="16">
        <v>45192</v>
      </c>
      <c r="H12" s="3">
        <v>-27.9</v>
      </c>
      <c r="I12" s="6" t="s">
        <v>73</v>
      </c>
      <c r="J12" s="3">
        <v>50</v>
      </c>
      <c r="K12" s="13" t="s">
        <v>66</v>
      </c>
      <c r="L12" s="3">
        <v>-100</v>
      </c>
    </row>
    <row r="13" spans="3:12" x14ac:dyDescent="0.4">
      <c r="G13" s="5" t="s">
        <v>12</v>
      </c>
      <c r="H13" s="3">
        <v>1488.1</v>
      </c>
      <c r="I13" s="11" t="s">
        <v>21</v>
      </c>
      <c r="J13" s="12">
        <v>1863.1</v>
      </c>
      <c r="K13" s="6" t="s">
        <v>69</v>
      </c>
      <c r="L13" s="3">
        <v>-1000</v>
      </c>
    </row>
    <row r="14" spans="3:12" x14ac:dyDescent="0.4">
      <c r="G14" s="6" t="s">
        <v>33</v>
      </c>
      <c r="H14" s="3">
        <v>987.5</v>
      </c>
      <c r="K14" s="17">
        <v>45232</v>
      </c>
      <c r="L14" s="3">
        <v>-1000</v>
      </c>
    </row>
    <row r="15" spans="3:12" x14ac:dyDescent="0.4">
      <c r="G15" s="16">
        <v>45164</v>
      </c>
      <c r="H15" s="3">
        <v>987.5</v>
      </c>
      <c r="K15" s="6" t="s">
        <v>72</v>
      </c>
      <c r="L15" s="3">
        <v>-1000</v>
      </c>
    </row>
    <row r="16" spans="3:12" x14ac:dyDescent="0.4">
      <c r="G16" s="6" t="s">
        <v>41</v>
      </c>
      <c r="H16" s="3">
        <v>500.6</v>
      </c>
      <c r="K16" s="17">
        <v>44897</v>
      </c>
      <c r="L16" s="3">
        <v>-1000</v>
      </c>
    </row>
    <row r="17" spans="2:12" x14ac:dyDescent="0.4">
      <c r="G17" s="5" t="s">
        <v>6</v>
      </c>
      <c r="H17" s="3">
        <v>-111.15</v>
      </c>
      <c r="K17" s="11" t="s">
        <v>6</v>
      </c>
      <c r="L17" s="3">
        <v>-111.15</v>
      </c>
    </row>
    <row r="18" spans="2:12" x14ac:dyDescent="0.4">
      <c r="G18" s="6" t="s">
        <v>31</v>
      </c>
      <c r="H18" s="3">
        <v>-111.15</v>
      </c>
      <c r="K18" s="13" t="s">
        <v>31</v>
      </c>
      <c r="L18" s="3">
        <v>-111.15</v>
      </c>
    </row>
    <row r="19" spans="2:12" x14ac:dyDescent="0.4">
      <c r="B19" t="s">
        <v>0</v>
      </c>
      <c r="C19" t="s">
        <v>1</v>
      </c>
      <c r="D19" t="s">
        <v>2</v>
      </c>
      <c r="E19" t="s">
        <v>3</v>
      </c>
      <c r="F19" t="s">
        <v>4</v>
      </c>
      <c r="G19" s="5" t="s">
        <v>70</v>
      </c>
      <c r="H19" s="3">
        <v>-2100</v>
      </c>
      <c r="K19" s="11" t="s">
        <v>28</v>
      </c>
      <c r="L19" s="3">
        <v>-963.30000000000007</v>
      </c>
    </row>
    <row r="20" spans="2:12" x14ac:dyDescent="0.4">
      <c r="B20" t="s">
        <v>66</v>
      </c>
      <c r="C20" s="9">
        <v>10000</v>
      </c>
      <c r="D20" s="1">
        <v>46357</v>
      </c>
      <c r="E20" s="10">
        <v>100</v>
      </c>
      <c r="F20" s="2">
        <f>$E20/$C20</f>
        <v>0.01</v>
      </c>
      <c r="G20" s="6" t="s">
        <v>66</v>
      </c>
      <c r="H20" s="3">
        <v>-100</v>
      </c>
      <c r="K20" s="6" t="s">
        <v>32</v>
      </c>
      <c r="L20" s="3">
        <v>-76.800000000000011</v>
      </c>
    </row>
    <row r="21" spans="2:12" x14ac:dyDescent="0.4">
      <c r="B21" t="s">
        <v>69</v>
      </c>
      <c r="C21" s="9">
        <v>1500</v>
      </c>
      <c r="D21" s="1">
        <v>45292</v>
      </c>
      <c r="E21" s="10">
        <v>1000</v>
      </c>
      <c r="F21" s="2">
        <f>$E21/$C21</f>
        <v>0.66666666666666663</v>
      </c>
      <c r="G21" s="6" t="s">
        <v>69</v>
      </c>
      <c r="H21" s="3">
        <v>-1000</v>
      </c>
      <c r="K21" s="6" t="s">
        <v>44</v>
      </c>
      <c r="L21" s="3">
        <v>-41.6</v>
      </c>
    </row>
    <row r="22" spans="2:12" x14ac:dyDescent="0.4">
      <c r="B22" t="s">
        <v>72</v>
      </c>
      <c r="C22" s="9">
        <v>5000</v>
      </c>
      <c r="D22" s="1">
        <v>45455</v>
      </c>
      <c r="E22" s="10">
        <v>1000</v>
      </c>
      <c r="F22" s="2">
        <f>$E22/$C22</f>
        <v>0.2</v>
      </c>
      <c r="G22" s="16">
        <v>45232</v>
      </c>
      <c r="H22" s="3">
        <v>-1000</v>
      </c>
      <c r="I22" s="3"/>
      <c r="K22" s="6" t="s">
        <v>45</v>
      </c>
      <c r="L22" s="3">
        <v>-763.2</v>
      </c>
    </row>
    <row r="23" spans="2:12" x14ac:dyDescent="0.4">
      <c r="G23" s="6" t="s">
        <v>72</v>
      </c>
      <c r="H23" s="3">
        <v>-1000</v>
      </c>
      <c r="I23" s="3"/>
      <c r="K23" s="13" t="s">
        <v>50</v>
      </c>
      <c r="L23" s="3">
        <v>-81.7</v>
      </c>
    </row>
    <row r="24" spans="2:12" x14ac:dyDescent="0.4">
      <c r="G24" s="16">
        <v>44897</v>
      </c>
      <c r="H24" s="3">
        <v>-1000</v>
      </c>
      <c r="I24" s="3"/>
      <c r="K24" s="11" t="s">
        <v>34</v>
      </c>
      <c r="L24" s="3">
        <v>-1024.5999999999999</v>
      </c>
    </row>
    <row r="25" spans="2:12" x14ac:dyDescent="0.4">
      <c r="G25" s="5" t="s">
        <v>28</v>
      </c>
      <c r="H25" s="3">
        <v>-963.30000000000007</v>
      </c>
      <c r="I25" s="3"/>
      <c r="K25" s="13" t="s">
        <v>10</v>
      </c>
      <c r="L25" s="3">
        <v>-1024.5999999999999</v>
      </c>
    </row>
    <row r="26" spans="2:12" x14ac:dyDescent="0.4">
      <c r="G26" s="6" t="s">
        <v>32</v>
      </c>
      <c r="H26" s="3">
        <v>-76.800000000000011</v>
      </c>
      <c r="I26" s="3"/>
      <c r="K26" s="11" t="s">
        <v>11</v>
      </c>
      <c r="L26" s="3">
        <v>-82.85</v>
      </c>
    </row>
    <row r="27" spans="2:12" x14ac:dyDescent="0.4">
      <c r="G27" s="6" t="s">
        <v>44</v>
      </c>
      <c r="H27" s="3">
        <v>-41.6</v>
      </c>
      <c r="I27" s="3"/>
      <c r="K27" s="6" t="s">
        <v>35</v>
      </c>
      <c r="L27" s="3">
        <v>-70.55</v>
      </c>
    </row>
    <row r="28" spans="2:12" x14ac:dyDescent="0.4">
      <c r="G28" s="6" t="s">
        <v>45</v>
      </c>
      <c r="H28" s="3">
        <v>-763.2</v>
      </c>
      <c r="I28" s="3"/>
      <c r="K28" s="13" t="s">
        <v>46</v>
      </c>
      <c r="L28" s="3">
        <v>-12.3</v>
      </c>
    </row>
    <row r="29" spans="2:12" x14ac:dyDescent="0.4">
      <c r="G29" s="6" t="s">
        <v>50</v>
      </c>
      <c r="H29" s="3">
        <v>-81.7</v>
      </c>
      <c r="I29" s="3"/>
      <c r="K29" s="11" t="s">
        <v>29</v>
      </c>
      <c r="L29" s="3">
        <v>-194.25</v>
      </c>
    </row>
    <row r="30" spans="2:12" x14ac:dyDescent="0.4">
      <c r="F30" t="s">
        <v>67</v>
      </c>
      <c r="G30" s="5" t="s">
        <v>34</v>
      </c>
      <c r="H30" s="3">
        <v>-1024.5999999999999</v>
      </c>
      <c r="I30" s="3"/>
      <c r="K30" s="6" t="s">
        <v>38</v>
      </c>
      <c r="L30" s="3">
        <v>-13.75</v>
      </c>
    </row>
    <row r="31" spans="2:12" x14ac:dyDescent="0.4">
      <c r="D31">
        <v>9</v>
      </c>
      <c r="G31" s="6" t="s">
        <v>10</v>
      </c>
      <c r="H31" s="3">
        <v>-1024.5999999999999</v>
      </c>
      <c r="I31" s="3"/>
      <c r="K31" s="6" t="s">
        <v>49</v>
      </c>
      <c r="L31" s="3">
        <v>-71.5</v>
      </c>
    </row>
    <row r="32" spans="2:12" x14ac:dyDescent="0.4">
      <c r="G32" s="5" t="s">
        <v>11</v>
      </c>
      <c r="H32" s="3">
        <v>-82.85</v>
      </c>
      <c r="I32" s="3"/>
      <c r="K32" s="6" t="s">
        <v>61</v>
      </c>
      <c r="L32" s="3">
        <v>-52</v>
      </c>
    </row>
    <row r="33" spans="7:12" x14ac:dyDescent="0.4">
      <c r="G33" s="6" t="s">
        <v>35</v>
      </c>
      <c r="H33" s="3">
        <v>-70.55</v>
      </c>
      <c r="I33" s="3"/>
      <c r="K33" s="13" t="s">
        <v>64</v>
      </c>
      <c r="L33" s="3">
        <v>-57</v>
      </c>
    </row>
    <row r="34" spans="7:12" x14ac:dyDescent="0.4">
      <c r="G34" s="6" t="s">
        <v>46</v>
      </c>
      <c r="H34" s="3">
        <v>-12.3</v>
      </c>
      <c r="I34" s="3"/>
      <c r="K34" s="15">
        <v>45252</v>
      </c>
      <c r="L34" s="3">
        <v>-57</v>
      </c>
    </row>
    <row r="35" spans="7:12" x14ac:dyDescent="0.4">
      <c r="G35" s="11" t="s">
        <v>29</v>
      </c>
      <c r="H35" s="3">
        <v>-144.25</v>
      </c>
      <c r="I35" s="3"/>
      <c r="K35" s="11" t="s">
        <v>30</v>
      </c>
      <c r="L35" s="3">
        <v>-80.400000000000006</v>
      </c>
    </row>
    <row r="36" spans="7:12" x14ac:dyDescent="0.4">
      <c r="G36" s="6" t="s">
        <v>73</v>
      </c>
      <c r="H36" s="3">
        <v>50</v>
      </c>
      <c r="I36" s="3"/>
      <c r="K36" s="6" t="s">
        <v>39</v>
      </c>
      <c r="L36" s="3">
        <v>-58.3</v>
      </c>
    </row>
    <row r="37" spans="7:12" x14ac:dyDescent="0.4">
      <c r="G37" s="6" t="s">
        <v>38</v>
      </c>
      <c r="H37" s="3">
        <v>-13.75</v>
      </c>
      <c r="I37" s="3"/>
      <c r="K37" s="13" t="s">
        <v>47</v>
      </c>
      <c r="L37" s="3">
        <v>-22.1</v>
      </c>
    </row>
    <row r="38" spans="7:12" x14ac:dyDescent="0.4">
      <c r="G38" s="6" t="s">
        <v>49</v>
      </c>
      <c r="H38" s="3">
        <v>-71.5</v>
      </c>
      <c r="K38" s="11" t="s">
        <v>27</v>
      </c>
      <c r="L38" s="3">
        <v>-190.10000000000002</v>
      </c>
    </row>
    <row r="39" spans="7:12" x14ac:dyDescent="0.4">
      <c r="G39" s="13" t="s">
        <v>68</v>
      </c>
      <c r="H39" s="3">
        <v>-52</v>
      </c>
      <c r="K39" s="6" t="s">
        <v>40</v>
      </c>
      <c r="L39" s="3">
        <v>-96.5</v>
      </c>
    </row>
    <row r="40" spans="7:12" x14ac:dyDescent="0.4">
      <c r="G40" s="6" t="s">
        <v>64</v>
      </c>
      <c r="H40" s="3">
        <v>-57</v>
      </c>
      <c r="K40" s="6" t="s">
        <v>43</v>
      </c>
      <c r="L40" s="3">
        <v>-56.8</v>
      </c>
    </row>
    <row r="41" spans="7:12" x14ac:dyDescent="0.4">
      <c r="G41" s="16">
        <v>45252</v>
      </c>
      <c r="H41" s="3">
        <v>-57</v>
      </c>
      <c r="K41" s="13" t="s">
        <v>48</v>
      </c>
      <c r="L41" s="3">
        <v>-36.799999999999997</v>
      </c>
    </row>
    <row r="42" spans="7:12" x14ac:dyDescent="0.4">
      <c r="G42" s="5" t="s">
        <v>30</v>
      </c>
      <c r="H42" s="3">
        <v>44.599999999999994</v>
      </c>
      <c r="K42" s="11" t="s">
        <v>21</v>
      </c>
      <c r="L42" s="12">
        <v>-4981.800000000002</v>
      </c>
    </row>
    <row r="43" spans="7:12" x14ac:dyDescent="0.4">
      <c r="G43" s="6" t="s">
        <v>39</v>
      </c>
      <c r="H43" s="3">
        <v>-58.3</v>
      </c>
    </row>
    <row r="44" spans="7:12" x14ac:dyDescent="0.4">
      <c r="G44" s="6" t="s">
        <v>47</v>
      </c>
      <c r="H44" s="3">
        <v>-22.1</v>
      </c>
    </row>
    <row r="45" spans="7:12" x14ac:dyDescent="0.4">
      <c r="G45" s="6" t="s">
        <v>51</v>
      </c>
      <c r="H45" s="3">
        <v>125</v>
      </c>
    </row>
    <row r="46" spans="7:12" x14ac:dyDescent="0.4">
      <c r="G46" s="16">
        <v>45252</v>
      </c>
      <c r="H46" s="3">
        <v>125</v>
      </c>
    </row>
    <row r="47" spans="7:12" x14ac:dyDescent="0.4">
      <c r="G47" s="5" t="s">
        <v>27</v>
      </c>
      <c r="H47" s="3">
        <v>-190.10000000000002</v>
      </c>
    </row>
    <row r="48" spans="7:12" x14ac:dyDescent="0.4">
      <c r="G48" s="6" t="s">
        <v>40</v>
      </c>
      <c r="H48" s="3">
        <v>-96.5</v>
      </c>
    </row>
    <row r="49" spans="7:8" x14ac:dyDescent="0.4">
      <c r="G49" s="6" t="s">
        <v>43</v>
      </c>
      <c r="H49" s="3">
        <v>-56.8</v>
      </c>
    </row>
    <row r="50" spans="7:8" x14ac:dyDescent="0.4">
      <c r="G50" s="6" t="s">
        <v>48</v>
      </c>
      <c r="H50" s="3">
        <v>-36.799999999999997</v>
      </c>
    </row>
    <row r="51" spans="7:8" x14ac:dyDescent="0.4">
      <c r="G51" s="11" t="s">
        <v>21</v>
      </c>
      <c r="H51" s="12">
        <v>-3118.7000000000012</v>
      </c>
    </row>
  </sheetData>
  <sheetProtection selectLockedCells="1" sort="0" autoFilter="0" pivotTables="0" selectUnlockedCells="1"/>
  <mergeCells count="3">
    <mergeCell ref="K1:L1"/>
    <mergeCell ref="G1:H1"/>
    <mergeCell ref="I1:J1"/>
  </mergeCells>
  <conditionalFormatting sqref="F1:F1048576">
    <cfRule type="dataBar" priority="3">
      <dataBar>
        <cfvo type="num" val="0"/>
        <cfvo type="num" val="1"/>
        <color rgb="FF63C384"/>
      </dataBar>
      <extLst>
        <ext xmlns:x14="http://schemas.microsoft.com/office/spreadsheetml/2009/9/main" uri="{B025F937-C7B1-47D3-B67F-A62EFF666E3E}">
          <x14:id>{5DA74F91-384A-4315-AD8A-96D0AF29FFAB}</x14:id>
        </ext>
      </extLst>
    </cfRule>
  </conditionalFormatting>
  <conditionalFormatting sqref="F19">
    <cfRule type="dataBar" priority="8">
      <dataBar>
        <cfvo type="percent" val="0"/>
        <cfvo type="percent" val="100"/>
        <color rgb="FF00B050"/>
      </dataBar>
      <extLst>
        <ext xmlns:x14="http://schemas.microsoft.com/office/spreadsheetml/2009/9/main" uri="{B025F937-C7B1-47D3-B67F-A62EFF666E3E}">
          <x14:id>{8B7D6EEB-2C94-4DE8-8C4A-8407B416CFC1}</x14:id>
        </ext>
      </extLst>
    </cfRule>
  </conditionalFormatting>
  <pageMargins left="0.7" right="0.7" top="0.75" bottom="0.75" header="0.3" footer="0.3"/>
  <drawing r:id="rId4"/>
  <legacyDrawing r:id="rId5"/>
  <controls>
    <mc:AlternateContent xmlns:mc="http://schemas.openxmlformats.org/markup-compatibility/2006">
      <mc:Choice Requires="x14">
        <control shapeId="2064" r:id="rId6" name="ToggleHideDataButton">
          <controlPr defaultSize="0" autoLine="0" r:id="rId7">
            <anchor moveWithCells="1">
              <from>
                <xdr:col>2</xdr:col>
                <xdr:colOff>190500</xdr:colOff>
                <xdr:row>13</xdr:row>
                <xdr:rowOff>0</xdr:rowOff>
              </from>
              <to>
                <xdr:col>3</xdr:col>
                <xdr:colOff>333375</xdr:colOff>
                <xdr:row>16</xdr:row>
                <xdr:rowOff>42863</xdr:rowOff>
              </to>
            </anchor>
          </controlPr>
        </control>
      </mc:Choice>
      <mc:Fallback>
        <control shapeId="2064" r:id="rId6" name="ToggleHideDataButton"/>
      </mc:Fallback>
    </mc:AlternateContent>
    <mc:AlternateContent xmlns:mc="http://schemas.openxmlformats.org/markup-compatibility/2006">
      <mc:Choice Requires="x14">
        <control shapeId="2063" r:id="rId8" name="UpdateButton">
          <controlPr defaultSize="0" autoLine="0" r:id="rId9">
            <anchor moveWithCells="1">
              <from>
                <xdr:col>1</xdr:col>
                <xdr:colOff>371475</xdr:colOff>
                <xdr:row>13</xdr:row>
                <xdr:rowOff>0</xdr:rowOff>
              </from>
              <to>
                <xdr:col>2</xdr:col>
                <xdr:colOff>180975</xdr:colOff>
                <xdr:row>16</xdr:row>
                <xdr:rowOff>42863</xdr:rowOff>
              </to>
            </anchor>
          </controlPr>
        </control>
      </mc:Choice>
      <mc:Fallback>
        <control shapeId="2063" r:id="rId8" name="UpdateButton"/>
      </mc:Fallback>
    </mc:AlternateContent>
    <mc:AlternateContent xmlns:mc="http://schemas.openxmlformats.org/markup-compatibility/2006">
      <mc:Choice Requires="x14">
        <control shapeId="2062" r:id="rId10" name="OpenBudgetingButton">
          <controlPr defaultSize="0" autoLine="0" r:id="rId11">
            <anchor moveWithCells="1">
              <from>
                <xdr:col>4</xdr:col>
                <xdr:colOff>171450</xdr:colOff>
                <xdr:row>2</xdr:row>
                <xdr:rowOff>171450</xdr:rowOff>
              </from>
              <to>
                <xdr:col>5</xdr:col>
                <xdr:colOff>1276350</xdr:colOff>
                <xdr:row>6</xdr:row>
                <xdr:rowOff>38100</xdr:rowOff>
              </to>
            </anchor>
          </controlPr>
        </control>
      </mc:Choice>
      <mc:Fallback>
        <control shapeId="2062" r:id="rId10" name="OpenBudgetingButton"/>
      </mc:Fallback>
    </mc:AlternateContent>
    <mc:AlternateContent xmlns:mc="http://schemas.openxmlformats.org/markup-compatibility/2006">
      <mc:Choice Requires="x14">
        <control shapeId="2061" r:id="rId12" name="OpenAnalysisButton">
          <controlPr defaultSize="0" autoFill="0" autoLine="0" r:id="rId13">
            <anchor moveWithCells="1">
              <from>
                <xdr:col>4</xdr:col>
                <xdr:colOff>171450</xdr:colOff>
                <xdr:row>12</xdr:row>
                <xdr:rowOff>161925</xdr:rowOff>
              </from>
              <to>
                <xdr:col>5</xdr:col>
                <xdr:colOff>704850</xdr:colOff>
                <xdr:row>16</xdr:row>
                <xdr:rowOff>28575</xdr:rowOff>
              </to>
            </anchor>
          </controlPr>
        </control>
      </mc:Choice>
      <mc:Fallback>
        <control shapeId="2061" r:id="rId12" name="OpenAnalysisButton"/>
      </mc:Fallback>
    </mc:AlternateContent>
    <mc:AlternateContent xmlns:mc="http://schemas.openxmlformats.org/markup-compatibility/2006">
      <mc:Choice Requires="x14">
        <control shapeId="2060" r:id="rId14" name="OpenFinancialGoalsButton">
          <controlPr defaultSize="0" autoLine="0" r:id="rId15">
            <anchor moveWithCells="1">
              <from>
                <xdr:col>1</xdr:col>
                <xdr:colOff>371475</xdr:colOff>
                <xdr:row>7</xdr:row>
                <xdr:rowOff>171450</xdr:rowOff>
              </from>
              <to>
                <xdr:col>3</xdr:col>
                <xdr:colOff>352425</xdr:colOff>
                <xdr:row>11</xdr:row>
                <xdr:rowOff>38100</xdr:rowOff>
              </to>
            </anchor>
          </controlPr>
        </control>
      </mc:Choice>
      <mc:Fallback>
        <control shapeId="2060" r:id="rId14" name="OpenFinancialGoalsButton"/>
      </mc:Fallback>
    </mc:AlternateContent>
    <mc:AlternateContent xmlns:mc="http://schemas.openxmlformats.org/markup-compatibility/2006">
      <mc:Choice Requires="x14">
        <control shapeId="2059" r:id="rId16" name="OpenMonthlyReportButton">
          <controlPr defaultSize="0" autoLine="0" r:id="rId17">
            <anchor moveWithCells="1">
              <from>
                <xdr:col>4</xdr:col>
                <xdr:colOff>171450</xdr:colOff>
                <xdr:row>7</xdr:row>
                <xdr:rowOff>161925</xdr:rowOff>
              </from>
              <to>
                <xdr:col>5</xdr:col>
                <xdr:colOff>1276350</xdr:colOff>
                <xdr:row>11</xdr:row>
                <xdr:rowOff>28575</xdr:rowOff>
              </to>
            </anchor>
          </controlPr>
        </control>
      </mc:Choice>
      <mc:Fallback>
        <control shapeId="2059" r:id="rId16" name="OpenMonthlyReportButton"/>
      </mc:Fallback>
    </mc:AlternateContent>
    <mc:AlternateContent xmlns:mc="http://schemas.openxmlformats.org/markup-compatibility/2006">
      <mc:Choice Requires="x14">
        <control shapeId="2058" r:id="rId18" name="OpenIncomeExpenseButton">
          <controlPr defaultSize="0" autoLine="0" r:id="rId19">
            <anchor moveWithCells="1">
              <from>
                <xdr:col>1</xdr:col>
                <xdr:colOff>371475</xdr:colOff>
                <xdr:row>3</xdr:row>
                <xdr:rowOff>0</xdr:rowOff>
              </from>
              <to>
                <xdr:col>3</xdr:col>
                <xdr:colOff>352425</xdr:colOff>
                <xdr:row>6</xdr:row>
                <xdr:rowOff>42863</xdr:rowOff>
              </to>
            </anchor>
          </controlPr>
        </control>
      </mc:Choice>
      <mc:Fallback>
        <control shapeId="2058" r:id="rId18" name="OpenIncomeExpenseButton"/>
      </mc:Fallback>
    </mc:AlternateContent>
    <mc:AlternateContent xmlns:mc="http://schemas.openxmlformats.org/markup-compatibility/2006">
      <mc:Choice Requires="x14">
        <control shapeId="2057" r:id="rId20" name="CloseAnalysisButton">
          <controlPr defaultSize="0" autoLine="0" r:id="rId21">
            <anchor moveWithCells="1">
              <from>
                <xdr:col>5</xdr:col>
                <xdr:colOff>704850</xdr:colOff>
                <xdr:row>12</xdr:row>
                <xdr:rowOff>161925</xdr:rowOff>
              </from>
              <to>
                <xdr:col>5</xdr:col>
                <xdr:colOff>1276350</xdr:colOff>
                <xdr:row>16</xdr:row>
                <xdr:rowOff>28575</xdr:rowOff>
              </to>
            </anchor>
          </controlPr>
        </control>
      </mc:Choice>
      <mc:Fallback>
        <control shapeId="2057" r:id="rId20" name="CloseAnalysisButton"/>
      </mc:Fallback>
    </mc:AlternateContent>
    <mc:AlternateContent xmlns:mc="http://schemas.openxmlformats.org/markup-compatibility/2006">
      <mc:Choice Requires="x14">
        <control shapeId="2056" r:id="rId22" name="HideDataButton">
          <controlPr defaultSize="0" autoLine="0" r:id="rId23">
            <anchor moveWithCells="1">
              <from>
                <xdr:col>2</xdr:col>
                <xdr:colOff>190500</xdr:colOff>
                <xdr:row>13</xdr:row>
                <xdr:rowOff>0</xdr:rowOff>
              </from>
              <to>
                <xdr:col>3</xdr:col>
                <xdr:colOff>328613</xdr:colOff>
                <xdr:row>16</xdr:row>
                <xdr:rowOff>42863</xdr:rowOff>
              </to>
            </anchor>
          </controlPr>
        </control>
      </mc:Choice>
      <mc:Fallback>
        <control shapeId="2056" r:id="rId22" name="HideDataButton"/>
      </mc:Fallback>
    </mc:AlternateContent>
    <mc:AlternateContent xmlns:mc="http://schemas.openxmlformats.org/markup-compatibility/2006">
      <mc:Choice Requires="x14">
        <control shapeId="2055" r:id="rId24" name="UpdateAllButton">
          <controlPr defaultSize="0" autoLine="0" r:id="rId25">
            <anchor moveWithCells="1">
              <from>
                <xdr:col>1</xdr:col>
                <xdr:colOff>361950</xdr:colOff>
                <xdr:row>13</xdr:row>
                <xdr:rowOff>0</xdr:rowOff>
              </from>
              <to>
                <xdr:col>2</xdr:col>
                <xdr:colOff>176213</xdr:colOff>
                <xdr:row>16</xdr:row>
                <xdr:rowOff>42863</xdr:rowOff>
              </to>
            </anchor>
          </controlPr>
        </control>
      </mc:Choice>
      <mc:Fallback>
        <control shapeId="2055" r:id="rId24" name="UpdateAllButton"/>
      </mc:Fallback>
    </mc:AlternateContent>
    <mc:AlternateContent xmlns:mc="http://schemas.openxmlformats.org/markup-compatibility/2006">
      <mc:Choice Requires="x14">
        <control shapeId="2053" r:id="rId26" name="OpenBudgetingToolButton">
          <controlPr defaultSize="0" autoLine="0" r:id="rId27">
            <anchor moveWithCells="1">
              <from>
                <xdr:col>4</xdr:col>
                <xdr:colOff>171450</xdr:colOff>
                <xdr:row>2</xdr:row>
                <xdr:rowOff>171450</xdr:rowOff>
              </from>
              <to>
                <xdr:col>5</xdr:col>
                <xdr:colOff>1276350</xdr:colOff>
                <xdr:row>6</xdr:row>
                <xdr:rowOff>38100</xdr:rowOff>
              </to>
            </anchor>
          </controlPr>
        </control>
      </mc:Choice>
      <mc:Fallback>
        <control shapeId="2053" r:id="rId26" name="OpenBudgetingToolButton"/>
      </mc:Fallback>
    </mc:AlternateContent>
    <mc:AlternateContent xmlns:mc="http://schemas.openxmlformats.org/markup-compatibility/2006">
      <mc:Choice Requires="x14">
        <control shapeId="2052" r:id="rId28" name="AnalysisButton">
          <controlPr defaultSize="0" autoLine="0" r:id="rId29">
            <anchor moveWithCells="1">
              <from>
                <xdr:col>4</xdr:col>
                <xdr:colOff>161925</xdr:colOff>
                <xdr:row>12</xdr:row>
                <xdr:rowOff>161925</xdr:rowOff>
              </from>
              <to>
                <xdr:col>5</xdr:col>
                <xdr:colOff>695325</xdr:colOff>
                <xdr:row>16</xdr:row>
                <xdr:rowOff>28575</xdr:rowOff>
              </to>
            </anchor>
          </controlPr>
        </control>
      </mc:Choice>
      <mc:Fallback>
        <control shapeId="2052" r:id="rId28" name="AnalysisButton"/>
      </mc:Fallback>
    </mc:AlternateContent>
    <mc:AlternateContent xmlns:mc="http://schemas.openxmlformats.org/markup-compatibility/2006">
      <mc:Choice Requires="x14">
        <control shapeId="2051" r:id="rId30" name="OpenFinancialGoals">
          <controlPr defaultSize="0" autoLine="0" r:id="rId31">
            <anchor moveWithCells="1">
              <from>
                <xdr:col>1</xdr:col>
                <xdr:colOff>361950</xdr:colOff>
                <xdr:row>8</xdr:row>
                <xdr:rowOff>0</xdr:rowOff>
              </from>
              <to>
                <xdr:col>3</xdr:col>
                <xdr:colOff>342900</xdr:colOff>
                <xdr:row>11</xdr:row>
                <xdr:rowOff>42863</xdr:rowOff>
              </to>
            </anchor>
          </controlPr>
        </control>
      </mc:Choice>
      <mc:Fallback>
        <control shapeId="2051" r:id="rId30" name="OpenFinancialGoals"/>
      </mc:Fallback>
    </mc:AlternateContent>
    <mc:AlternateContent xmlns:mc="http://schemas.openxmlformats.org/markup-compatibility/2006">
      <mc:Choice Requires="x14">
        <control shapeId="2050" r:id="rId32" name="OpenMonthlyReport">
          <controlPr defaultSize="0" autoLine="0" r:id="rId33">
            <anchor moveWithCells="1">
              <from>
                <xdr:col>4</xdr:col>
                <xdr:colOff>171450</xdr:colOff>
                <xdr:row>7</xdr:row>
                <xdr:rowOff>171450</xdr:rowOff>
              </from>
              <to>
                <xdr:col>5</xdr:col>
                <xdr:colOff>1276350</xdr:colOff>
                <xdr:row>11</xdr:row>
                <xdr:rowOff>38100</xdr:rowOff>
              </to>
            </anchor>
          </controlPr>
        </control>
      </mc:Choice>
      <mc:Fallback>
        <control shapeId="2050" r:id="rId32" name="OpenMonthlyReport"/>
      </mc:Fallback>
    </mc:AlternateContent>
    <mc:AlternateContent xmlns:mc="http://schemas.openxmlformats.org/markup-compatibility/2006">
      <mc:Choice Requires="x14">
        <control shapeId="2049" r:id="rId34" name="OpenIncomeExpense">
          <controlPr defaultSize="0" autoLine="0" r:id="rId35">
            <anchor moveWithCells="1">
              <from>
                <xdr:col>1</xdr:col>
                <xdr:colOff>361950</xdr:colOff>
                <xdr:row>3</xdr:row>
                <xdr:rowOff>0</xdr:rowOff>
              </from>
              <to>
                <xdr:col>3</xdr:col>
                <xdr:colOff>342900</xdr:colOff>
                <xdr:row>6</xdr:row>
                <xdr:rowOff>42863</xdr:rowOff>
              </to>
            </anchor>
          </controlPr>
        </control>
      </mc:Choice>
      <mc:Fallback>
        <control shapeId="2049" r:id="rId34" name="OpenIncomeExpense"/>
      </mc:Fallback>
    </mc:AlternateContent>
  </controls>
  <tableParts count="1">
    <tablePart r:id="rId36"/>
  </tableParts>
  <extLst>
    <ext xmlns:x14="http://schemas.microsoft.com/office/spreadsheetml/2009/9/main" uri="{78C0D931-6437-407d-A8EE-F0AAD7539E65}">
      <x14:conditionalFormattings>
        <x14:conditionalFormatting xmlns:xm="http://schemas.microsoft.com/office/excel/2006/main">
          <x14:cfRule type="dataBar" id="{5DA74F91-384A-4315-AD8A-96D0AF29FFAB}">
            <x14:dataBar minLength="0" maxLength="100" border="1" negativeBarBorderColorSameAsPositive="0">
              <x14:cfvo type="num">
                <xm:f>0</xm:f>
              </x14:cfvo>
              <x14:cfvo type="num">
                <xm:f>1</xm:f>
              </x14:cfvo>
              <x14:borderColor rgb="FF63C384"/>
              <x14:negativeFillColor rgb="FFFF0000"/>
              <x14:negativeBorderColor rgb="FFFF0000"/>
              <x14:axisColor rgb="FF000000"/>
            </x14:dataBar>
          </x14:cfRule>
          <xm:sqref>F1:F1048576</xm:sqref>
        </x14:conditionalFormatting>
        <x14:conditionalFormatting xmlns:xm="http://schemas.microsoft.com/office/excel/2006/main">
          <x14:cfRule type="dataBar" id="{8B7D6EEB-2C94-4DE8-8C4A-8407B416CFC1}">
            <x14:dataBar minLength="0" maxLength="100" border="1">
              <x14:cfvo type="percent">
                <xm:f>0</xm:f>
              </x14:cfvo>
              <x14:cfvo type="percent">
                <xm:f>100</xm:f>
              </x14:cfvo>
              <x14:borderColor rgb="FF00B050"/>
              <x14:negativeFillColor rgb="FFFF0000"/>
              <x14:axisColor rgb="FF000000"/>
            </x14:dataBar>
          </x14:cfRule>
          <xm:sqref>F19</xm:sqref>
        </x14:conditionalFormatting>
      </x14:conditionalFormattings>
    </ext>
    <ext xmlns:x14="http://schemas.microsoft.com/office/spreadsheetml/2009/9/main" uri="{A8765BA9-456A-4dab-B4F3-ACF838C121DE}">
      <x14:slicerList>
        <x14:slicer r:id="rId3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E85DF-F483-42DB-B45F-27F566D7732B}">
  <sheetPr codeName="Sheet13"/>
  <dimension ref="A1"/>
  <sheetViews>
    <sheetView topLeftCell="C1" zoomScale="75" zoomScaleNormal="75" workbookViewId="0">
      <selection activeCell="L64" sqref="L64"/>
    </sheetView>
  </sheetViews>
  <sheetFormatPr defaultRowHeight="13.9" x14ac:dyDescent="0.4"/>
  <cols>
    <col min="4" max="4" width="12.125" bestFit="1" customWidth="1"/>
    <col min="5" max="5" width="13.875" bestFit="1" customWidth="1"/>
  </cols>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C4271-8605-42D5-9C35-5D252529CA7F}">
  <sheetPr codeName="Sheet6"/>
  <dimension ref="A1:D40"/>
  <sheetViews>
    <sheetView workbookViewId="0">
      <selection activeCell="A39" sqref="A39"/>
    </sheetView>
  </sheetViews>
  <sheetFormatPr defaultRowHeight="13.9" x14ac:dyDescent="0.4"/>
  <cols>
    <col min="1" max="1" width="10.75" customWidth="1"/>
    <col min="2" max="2" width="9.125" customWidth="1"/>
    <col min="3" max="3" width="11.25" customWidth="1"/>
    <col min="4" max="4" width="10.25" style="3" customWidth="1"/>
    <col min="6" max="9" width="8.5"/>
    <col min="10" max="11" width="9.375" bestFit="1" customWidth="1"/>
  </cols>
  <sheetData>
    <row r="1" spans="1:4" x14ac:dyDescent="0.4">
      <c r="A1" t="s">
        <v>14</v>
      </c>
      <c r="B1" t="s">
        <v>15</v>
      </c>
      <c r="C1" t="s">
        <v>16</v>
      </c>
      <c r="D1" s="3" t="s">
        <v>17</v>
      </c>
    </row>
    <row r="2" spans="1:4" x14ac:dyDescent="0.4">
      <c r="A2" s="1">
        <v>44635</v>
      </c>
      <c r="B2" t="s">
        <v>61</v>
      </c>
      <c r="C2" t="s">
        <v>29</v>
      </c>
      <c r="D2" s="3">
        <v>-52</v>
      </c>
    </row>
    <row r="3" spans="1:4" x14ac:dyDescent="0.4">
      <c r="A3" s="1">
        <v>44895</v>
      </c>
      <c r="B3" t="s">
        <v>59</v>
      </c>
      <c r="C3" t="s">
        <v>8</v>
      </c>
      <c r="D3" s="3">
        <v>-153.75</v>
      </c>
    </row>
    <row r="4" spans="1:4" x14ac:dyDescent="0.4">
      <c r="A4" s="1">
        <v>44897</v>
      </c>
      <c r="B4" t="s">
        <v>72</v>
      </c>
      <c r="C4" t="s">
        <v>70</v>
      </c>
      <c r="D4" s="3">
        <v>-1000</v>
      </c>
    </row>
    <row r="5" spans="1:4" x14ac:dyDescent="0.4">
      <c r="A5" s="1">
        <v>45150</v>
      </c>
      <c r="B5" t="s">
        <v>31</v>
      </c>
      <c r="C5" t="s">
        <v>6</v>
      </c>
      <c r="D5" s="3">
        <v>-48.75</v>
      </c>
    </row>
    <row r="6" spans="1:4" x14ac:dyDescent="0.4">
      <c r="A6" s="1">
        <v>45157</v>
      </c>
      <c r="B6" t="s">
        <v>32</v>
      </c>
      <c r="C6" t="s">
        <v>28</v>
      </c>
      <c r="D6" s="3">
        <v>-32.200000000000003</v>
      </c>
    </row>
    <row r="7" spans="1:4" x14ac:dyDescent="0.4">
      <c r="A7" s="1">
        <v>45160</v>
      </c>
      <c r="B7" t="s">
        <v>41</v>
      </c>
      <c r="C7" t="s">
        <v>12</v>
      </c>
      <c r="D7" s="3">
        <v>137.75</v>
      </c>
    </row>
    <row r="8" spans="1:4" x14ac:dyDescent="0.4">
      <c r="A8" s="1">
        <v>45164</v>
      </c>
      <c r="B8" t="s">
        <v>33</v>
      </c>
      <c r="C8" t="s">
        <v>12</v>
      </c>
      <c r="D8" s="3">
        <v>987.5</v>
      </c>
    </row>
    <row r="9" spans="1:4" x14ac:dyDescent="0.4">
      <c r="A9" s="1">
        <v>45167</v>
      </c>
      <c r="B9" t="s">
        <v>36</v>
      </c>
      <c r="C9" t="s">
        <v>26</v>
      </c>
      <c r="D9" s="3">
        <v>-4.25</v>
      </c>
    </row>
    <row r="10" spans="1:4" x14ac:dyDescent="0.4">
      <c r="A10" s="1">
        <v>45169</v>
      </c>
      <c r="B10" t="s">
        <v>42</v>
      </c>
      <c r="C10" t="s">
        <v>26</v>
      </c>
      <c r="D10" s="3">
        <v>-33.4</v>
      </c>
    </row>
    <row r="11" spans="1:4" x14ac:dyDescent="0.4">
      <c r="A11" s="1">
        <v>45171</v>
      </c>
      <c r="B11" t="s">
        <v>10</v>
      </c>
      <c r="C11" t="s">
        <v>34</v>
      </c>
      <c r="D11" s="3">
        <v>-512.29999999999995</v>
      </c>
    </row>
    <row r="12" spans="1:4" x14ac:dyDescent="0.4">
      <c r="A12" s="1">
        <v>45174</v>
      </c>
      <c r="B12" t="s">
        <v>31</v>
      </c>
      <c r="C12" t="s">
        <v>6</v>
      </c>
      <c r="D12" s="3">
        <v>-62.4</v>
      </c>
    </row>
    <row r="13" spans="1:4" x14ac:dyDescent="0.4">
      <c r="A13" s="1">
        <v>45176</v>
      </c>
      <c r="B13" t="s">
        <v>43</v>
      </c>
      <c r="C13" t="s">
        <v>27</v>
      </c>
      <c r="D13" s="3">
        <v>-56.8</v>
      </c>
    </row>
    <row r="14" spans="1:4" x14ac:dyDescent="0.4">
      <c r="A14" s="1">
        <v>45178</v>
      </c>
      <c r="B14" t="s">
        <v>35</v>
      </c>
      <c r="C14" t="s">
        <v>11</v>
      </c>
      <c r="D14" s="3">
        <v>-37.799999999999997</v>
      </c>
    </row>
    <row r="15" spans="1:4" x14ac:dyDescent="0.4">
      <c r="A15" s="1">
        <v>45181</v>
      </c>
      <c r="B15" t="s">
        <v>49</v>
      </c>
      <c r="C15" t="s">
        <v>29</v>
      </c>
      <c r="D15" s="3">
        <v>-71.5</v>
      </c>
    </row>
    <row r="16" spans="1:4" x14ac:dyDescent="0.4">
      <c r="A16" s="1">
        <v>45183</v>
      </c>
      <c r="B16" t="s">
        <v>44</v>
      </c>
      <c r="C16" t="s">
        <v>28</v>
      </c>
      <c r="D16" s="3">
        <v>-41.6</v>
      </c>
    </row>
    <row r="17" spans="1:4" x14ac:dyDescent="0.4">
      <c r="A17" s="1">
        <v>45185</v>
      </c>
      <c r="B17" t="s">
        <v>36</v>
      </c>
      <c r="C17" t="s">
        <v>26</v>
      </c>
      <c r="D17" s="3">
        <v>-6.25</v>
      </c>
    </row>
    <row r="18" spans="1:4" x14ac:dyDescent="0.4">
      <c r="A18" s="1">
        <v>45188</v>
      </c>
      <c r="B18" t="s">
        <v>10</v>
      </c>
      <c r="C18" t="s">
        <v>34</v>
      </c>
      <c r="D18" s="3">
        <v>-512.29999999999995</v>
      </c>
    </row>
    <row r="19" spans="1:4" x14ac:dyDescent="0.4">
      <c r="A19" s="1">
        <v>45192</v>
      </c>
      <c r="B19" t="s">
        <v>37</v>
      </c>
      <c r="C19" t="s">
        <v>5</v>
      </c>
      <c r="D19" s="3">
        <v>-27.9</v>
      </c>
    </row>
    <row r="20" spans="1:4" x14ac:dyDescent="0.4">
      <c r="A20" s="1">
        <v>45195</v>
      </c>
      <c r="B20" t="s">
        <v>32</v>
      </c>
      <c r="C20" t="s">
        <v>28</v>
      </c>
      <c r="D20" s="3">
        <v>-44.6</v>
      </c>
    </row>
    <row r="21" spans="1:4" x14ac:dyDescent="0.4">
      <c r="A21" s="1">
        <v>45197</v>
      </c>
      <c r="B21" t="s">
        <v>45</v>
      </c>
      <c r="C21" t="s">
        <v>28</v>
      </c>
      <c r="D21" s="3">
        <v>-763.2</v>
      </c>
    </row>
    <row r="22" spans="1:4" x14ac:dyDescent="0.4">
      <c r="A22" s="1">
        <v>45199</v>
      </c>
      <c r="B22" t="s">
        <v>38</v>
      </c>
      <c r="C22" t="s">
        <v>29</v>
      </c>
      <c r="D22" s="3">
        <v>-13.75</v>
      </c>
    </row>
    <row r="23" spans="1:4" x14ac:dyDescent="0.4">
      <c r="A23" s="1">
        <v>45202</v>
      </c>
      <c r="B23" t="s">
        <v>35</v>
      </c>
      <c r="C23" t="s">
        <v>11</v>
      </c>
      <c r="D23" s="3">
        <v>-32.75</v>
      </c>
    </row>
    <row r="24" spans="1:4" x14ac:dyDescent="0.4">
      <c r="A24" s="1">
        <v>45204</v>
      </c>
      <c r="B24" t="s">
        <v>46</v>
      </c>
      <c r="C24" t="s">
        <v>11</v>
      </c>
      <c r="D24" s="3">
        <v>-12.3</v>
      </c>
    </row>
    <row r="25" spans="1:4" x14ac:dyDescent="0.4">
      <c r="A25" s="1">
        <v>45206</v>
      </c>
      <c r="B25" t="s">
        <v>39</v>
      </c>
      <c r="C25" t="s">
        <v>30</v>
      </c>
      <c r="D25" s="3">
        <v>-29.4</v>
      </c>
    </row>
    <row r="26" spans="1:4" x14ac:dyDescent="0.4">
      <c r="A26" s="1">
        <v>45209</v>
      </c>
      <c r="B26" t="s">
        <v>39</v>
      </c>
      <c r="C26" t="s">
        <v>30</v>
      </c>
      <c r="D26" s="3">
        <v>-28.9</v>
      </c>
    </row>
    <row r="27" spans="1:4" x14ac:dyDescent="0.4">
      <c r="A27" s="1">
        <v>45211</v>
      </c>
      <c r="B27" t="s">
        <v>47</v>
      </c>
      <c r="C27" t="s">
        <v>30</v>
      </c>
      <c r="D27" s="3">
        <v>-22.1</v>
      </c>
    </row>
    <row r="28" spans="1:4" x14ac:dyDescent="0.4">
      <c r="A28" s="1">
        <v>45213</v>
      </c>
      <c r="B28" t="s">
        <v>40</v>
      </c>
      <c r="C28" t="s">
        <v>27</v>
      </c>
      <c r="D28" s="3">
        <v>-48.9</v>
      </c>
    </row>
    <row r="29" spans="1:4" x14ac:dyDescent="0.4">
      <c r="A29" s="1">
        <v>45216</v>
      </c>
      <c r="B29" t="s">
        <v>40</v>
      </c>
      <c r="C29" t="s">
        <v>27</v>
      </c>
      <c r="D29" s="3">
        <v>-47.6</v>
      </c>
    </row>
    <row r="30" spans="1:4" x14ac:dyDescent="0.4">
      <c r="A30" s="1">
        <v>45218</v>
      </c>
      <c r="B30" t="s">
        <v>48</v>
      </c>
      <c r="C30" t="s">
        <v>27</v>
      </c>
      <c r="D30" s="3">
        <v>-36.799999999999997</v>
      </c>
    </row>
    <row r="31" spans="1:4" x14ac:dyDescent="0.4">
      <c r="A31" s="1">
        <v>45220</v>
      </c>
      <c r="B31" t="s">
        <v>41</v>
      </c>
      <c r="C31" t="s">
        <v>12</v>
      </c>
      <c r="D31" s="3">
        <v>188.25</v>
      </c>
    </row>
    <row r="32" spans="1:4" x14ac:dyDescent="0.4">
      <c r="A32" s="1">
        <v>45223</v>
      </c>
      <c r="B32" t="s">
        <v>41</v>
      </c>
      <c r="C32" t="s">
        <v>12</v>
      </c>
      <c r="D32" s="3">
        <v>174.6</v>
      </c>
    </row>
    <row r="33" spans="1:4" x14ac:dyDescent="0.4">
      <c r="A33" s="1">
        <v>45228</v>
      </c>
      <c r="B33" t="s">
        <v>50</v>
      </c>
      <c r="C33" t="s">
        <v>28</v>
      </c>
      <c r="D33" s="3">
        <v>-81.7</v>
      </c>
    </row>
    <row r="34" spans="1:4" x14ac:dyDescent="0.4">
      <c r="A34" s="1">
        <v>45232</v>
      </c>
      <c r="B34" t="s">
        <v>69</v>
      </c>
      <c r="C34" t="s">
        <v>70</v>
      </c>
      <c r="D34" s="3">
        <v>-1000</v>
      </c>
    </row>
    <row r="35" spans="1:4" x14ac:dyDescent="0.4">
      <c r="A35" s="1">
        <v>45242</v>
      </c>
      <c r="B35" t="s">
        <v>65</v>
      </c>
      <c r="C35" t="s">
        <v>5</v>
      </c>
      <c r="D35" s="3">
        <v>200</v>
      </c>
    </row>
    <row r="36" spans="1:4" x14ac:dyDescent="0.4">
      <c r="A36" s="1">
        <v>45252</v>
      </c>
      <c r="B36" t="s">
        <v>51</v>
      </c>
      <c r="C36" t="s">
        <v>30</v>
      </c>
      <c r="D36" s="3">
        <v>125</v>
      </c>
    </row>
    <row r="37" spans="1:4" x14ac:dyDescent="0.4">
      <c r="A37" s="1">
        <v>45252</v>
      </c>
      <c r="B37" t="s">
        <v>64</v>
      </c>
      <c r="C37" t="s">
        <v>29</v>
      </c>
      <c r="D37" s="3">
        <v>-57</v>
      </c>
    </row>
    <row r="38" spans="1:4" x14ac:dyDescent="0.4">
      <c r="A38" s="1">
        <v>45253</v>
      </c>
      <c r="B38" t="s">
        <v>73</v>
      </c>
      <c r="C38" t="s">
        <v>29</v>
      </c>
      <c r="D38" s="3">
        <v>50</v>
      </c>
    </row>
    <row r="39" spans="1:4" x14ac:dyDescent="0.4">
      <c r="A39" s="1">
        <v>45257</v>
      </c>
      <c r="B39" t="s">
        <v>63</v>
      </c>
      <c r="C39" t="s">
        <v>26</v>
      </c>
      <c r="D39" s="3">
        <v>-9.6</v>
      </c>
    </row>
    <row r="40" spans="1:4" x14ac:dyDescent="0.4">
      <c r="A40" s="1">
        <v>45263</v>
      </c>
      <c r="B40" t="s">
        <v>66</v>
      </c>
      <c r="C40" t="s">
        <v>70</v>
      </c>
      <c r="D40" s="3">
        <v>-100</v>
      </c>
    </row>
  </sheetData>
  <sortState xmlns:xlrd2="http://schemas.microsoft.com/office/spreadsheetml/2017/richdata2" ref="A2:D40">
    <sortCondition ref="A2"/>
  </sortState>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EB170-21CA-4AE2-874D-1C404F215B66}">
  <sheetPr codeName="Sheet19"/>
  <dimension ref="A1:D8"/>
  <sheetViews>
    <sheetView workbookViewId="0">
      <selection sqref="A1:D8"/>
    </sheetView>
  </sheetViews>
  <sheetFormatPr defaultRowHeight="13.9" x14ac:dyDescent="0.4"/>
  <cols>
    <col min="1" max="1" width="11.875" customWidth="1"/>
    <col min="2" max="2" width="10.25" customWidth="1"/>
    <col min="3" max="3" width="12.75" customWidth="1"/>
    <col min="4" max="4" width="11.625" customWidth="1"/>
  </cols>
  <sheetData>
    <row r="1" spans="1:4" x14ac:dyDescent="0.4">
      <c r="A1" t="s">
        <v>14</v>
      </c>
      <c r="B1" t="s">
        <v>15</v>
      </c>
      <c r="C1" t="s">
        <v>16</v>
      </c>
      <c r="D1" s="3" t="s">
        <v>17</v>
      </c>
    </row>
    <row r="2" spans="1:4" x14ac:dyDescent="0.4">
      <c r="A2" s="1">
        <v>45160</v>
      </c>
      <c r="B2" t="s">
        <v>41</v>
      </c>
      <c r="C2" t="s">
        <v>12</v>
      </c>
      <c r="D2" s="3">
        <v>137.75</v>
      </c>
    </row>
    <row r="3" spans="1:4" x14ac:dyDescent="0.4">
      <c r="A3" s="1">
        <v>45164</v>
      </c>
      <c r="B3" t="s">
        <v>33</v>
      </c>
      <c r="C3" t="s">
        <v>12</v>
      </c>
      <c r="D3" s="3">
        <v>987.5</v>
      </c>
    </row>
    <row r="4" spans="1:4" x14ac:dyDescent="0.4">
      <c r="A4" s="1">
        <v>45220</v>
      </c>
      <c r="B4" t="s">
        <v>41</v>
      </c>
      <c r="C4" t="s">
        <v>12</v>
      </c>
      <c r="D4" s="3">
        <v>188.25</v>
      </c>
    </row>
    <row r="5" spans="1:4" x14ac:dyDescent="0.4">
      <c r="A5" s="1">
        <v>45223</v>
      </c>
      <c r="B5" t="s">
        <v>41</v>
      </c>
      <c r="C5" t="s">
        <v>12</v>
      </c>
      <c r="D5" s="3">
        <v>174.6</v>
      </c>
    </row>
    <row r="6" spans="1:4" x14ac:dyDescent="0.4">
      <c r="A6" s="1">
        <v>45242</v>
      </c>
      <c r="B6" t="s">
        <v>65</v>
      </c>
      <c r="C6" t="s">
        <v>5</v>
      </c>
      <c r="D6" s="3">
        <v>200</v>
      </c>
    </row>
    <row r="7" spans="1:4" x14ac:dyDescent="0.4">
      <c r="A7" s="1">
        <v>45252</v>
      </c>
      <c r="B7" t="s">
        <v>51</v>
      </c>
      <c r="C7" t="s">
        <v>30</v>
      </c>
      <c r="D7" s="3">
        <v>125</v>
      </c>
    </row>
    <row r="8" spans="1:4" x14ac:dyDescent="0.4">
      <c r="A8" s="1">
        <v>45253</v>
      </c>
      <c r="B8" t="s">
        <v>73</v>
      </c>
      <c r="C8" t="s">
        <v>29</v>
      </c>
      <c r="D8" s="3">
        <v>50</v>
      </c>
    </row>
  </sheetData>
  <sortState xmlns:xlrd2="http://schemas.microsoft.com/office/spreadsheetml/2017/richdata2" ref="A2:D8">
    <sortCondition ref="A2"/>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DEF38-4E04-44E5-B74C-8A36A31992D0}">
  <sheetPr codeName="Sheet21"/>
  <dimension ref="A1:D33"/>
  <sheetViews>
    <sheetView workbookViewId="0">
      <selection sqref="A1:D33"/>
    </sheetView>
  </sheetViews>
  <sheetFormatPr defaultRowHeight="13.9" x14ac:dyDescent="0.4"/>
  <cols>
    <col min="1" max="1" width="10.75" customWidth="1"/>
    <col min="2" max="2" width="10.25" customWidth="1"/>
    <col min="3" max="3" width="12.75" customWidth="1"/>
    <col min="4" max="4" width="11.625" customWidth="1"/>
  </cols>
  <sheetData>
    <row r="1" spans="1:4" x14ac:dyDescent="0.4">
      <c r="A1" t="s">
        <v>14</v>
      </c>
      <c r="B1" t="s">
        <v>15</v>
      </c>
      <c r="C1" t="s">
        <v>16</v>
      </c>
      <c r="D1" s="3" t="s">
        <v>17</v>
      </c>
    </row>
    <row r="2" spans="1:4" x14ac:dyDescent="0.4">
      <c r="A2" s="1">
        <v>44635</v>
      </c>
      <c r="B2" t="s">
        <v>61</v>
      </c>
      <c r="C2" t="s">
        <v>29</v>
      </c>
      <c r="D2" s="3">
        <v>-52</v>
      </c>
    </row>
    <row r="3" spans="1:4" x14ac:dyDescent="0.4">
      <c r="A3" s="1">
        <v>44895</v>
      </c>
      <c r="B3" t="s">
        <v>59</v>
      </c>
      <c r="C3" t="s">
        <v>8</v>
      </c>
      <c r="D3" s="3">
        <v>-153.75</v>
      </c>
    </row>
    <row r="4" spans="1:4" x14ac:dyDescent="0.4">
      <c r="A4" s="1">
        <v>44897</v>
      </c>
      <c r="B4" t="s">
        <v>72</v>
      </c>
      <c r="C4" t="s">
        <v>70</v>
      </c>
      <c r="D4" s="3">
        <v>-1000</v>
      </c>
    </row>
    <row r="5" spans="1:4" x14ac:dyDescent="0.4">
      <c r="A5" s="1">
        <v>45150</v>
      </c>
      <c r="B5" t="s">
        <v>31</v>
      </c>
      <c r="C5" t="s">
        <v>6</v>
      </c>
      <c r="D5" s="3">
        <v>-48.75</v>
      </c>
    </row>
    <row r="6" spans="1:4" x14ac:dyDescent="0.4">
      <c r="A6" s="1">
        <v>45157</v>
      </c>
      <c r="B6" t="s">
        <v>32</v>
      </c>
      <c r="C6" t="s">
        <v>28</v>
      </c>
      <c r="D6" s="3">
        <v>-32.200000000000003</v>
      </c>
    </row>
    <row r="7" spans="1:4" x14ac:dyDescent="0.4">
      <c r="A7" s="1">
        <v>45167</v>
      </c>
      <c r="B7" t="s">
        <v>36</v>
      </c>
      <c r="C7" t="s">
        <v>26</v>
      </c>
      <c r="D7" s="3">
        <v>-4.25</v>
      </c>
    </row>
    <row r="8" spans="1:4" x14ac:dyDescent="0.4">
      <c r="A8" s="1">
        <v>45169</v>
      </c>
      <c r="B8" t="s">
        <v>42</v>
      </c>
      <c r="C8" t="s">
        <v>26</v>
      </c>
      <c r="D8" s="3">
        <v>-33.4</v>
      </c>
    </row>
    <row r="9" spans="1:4" x14ac:dyDescent="0.4">
      <c r="A9" s="1">
        <v>45171</v>
      </c>
      <c r="B9" t="s">
        <v>10</v>
      </c>
      <c r="C9" t="s">
        <v>34</v>
      </c>
      <c r="D9" s="3">
        <v>-512.29999999999995</v>
      </c>
    </row>
    <row r="10" spans="1:4" x14ac:dyDescent="0.4">
      <c r="A10" s="1">
        <v>45174</v>
      </c>
      <c r="B10" t="s">
        <v>31</v>
      </c>
      <c r="C10" t="s">
        <v>6</v>
      </c>
      <c r="D10" s="3">
        <v>-62.4</v>
      </c>
    </row>
    <row r="11" spans="1:4" x14ac:dyDescent="0.4">
      <c r="A11" s="1">
        <v>45176</v>
      </c>
      <c r="B11" t="s">
        <v>43</v>
      </c>
      <c r="C11" t="s">
        <v>27</v>
      </c>
      <c r="D11" s="3">
        <v>-56.8</v>
      </c>
    </row>
    <row r="12" spans="1:4" x14ac:dyDescent="0.4">
      <c r="A12" s="1">
        <v>45178</v>
      </c>
      <c r="B12" t="s">
        <v>35</v>
      </c>
      <c r="C12" t="s">
        <v>11</v>
      </c>
      <c r="D12" s="3">
        <v>-37.799999999999997</v>
      </c>
    </row>
    <row r="13" spans="1:4" x14ac:dyDescent="0.4">
      <c r="A13" s="1">
        <v>45181</v>
      </c>
      <c r="B13" t="s">
        <v>49</v>
      </c>
      <c r="C13" t="s">
        <v>29</v>
      </c>
      <c r="D13" s="3">
        <v>-71.5</v>
      </c>
    </row>
    <row r="14" spans="1:4" x14ac:dyDescent="0.4">
      <c r="A14" s="1">
        <v>45183</v>
      </c>
      <c r="B14" t="s">
        <v>44</v>
      </c>
      <c r="C14" t="s">
        <v>28</v>
      </c>
      <c r="D14" s="3">
        <v>-41.6</v>
      </c>
    </row>
    <row r="15" spans="1:4" x14ac:dyDescent="0.4">
      <c r="A15" s="1">
        <v>45185</v>
      </c>
      <c r="B15" t="s">
        <v>36</v>
      </c>
      <c r="C15" t="s">
        <v>26</v>
      </c>
      <c r="D15" s="3">
        <v>-6.25</v>
      </c>
    </row>
    <row r="16" spans="1:4" x14ac:dyDescent="0.4">
      <c r="A16" s="1">
        <v>45188</v>
      </c>
      <c r="B16" t="s">
        <v>10</v>
      </c>
      <c r="C16" t="s">
        <v>34</v>
      </c>
      <c r="D16" s="3">
        <v>-512.29999999999995</v>
      </c>
    </row>
    <row r="17" spans="1:4" x14ac:dyDescent="0.4">
      <c r="A17" s="1">
        <v>45192</v>
      </c>
      <c r="B17" t="s">
        <v>37</v>
      </c>
      <c r="C17" t="s">
        <v>5</v>
      </c>
      <c r="D17" s="3">
        <v>-27.9</v>
      </c>
    </row>
    <row r="18" spans="1:4" x14ac:dyDescent="0.4">
      <c r="A18" s="1">
        <v>45195</v>
      </c>
      <c r="B18" t="s">
        <v>32</v>
      </c>
      <c r="C18" t="s">
        <v>28</v>
      </c>
      <c r="D18" s="3">
        <v>-44.6</v>
      </c>
    </row>
    <row r="19" spans="1:4" x14ac:dyDescent="0.4">
      <c r="A19" s="1">
        <v>45197</v>
      </c>
      <c r="B19" t="s">
        <v>45</v>
      </c>
      <c r="C19" t="s">
        <v>28</v>
      </c>
      <c r="D19" s="3">
        <v>-763.2</v>
      </c>
    </row>
    <row r="20" spans="1:4" x14ac:dyDescent="0.4">
      <c r="A20" s="1">
        <v>45199</v>
      </c>
      <c r="B20" t="s">
        <v>38</v>
      </c>
      <c r="C20" t="s">
        <v>29</v>
      </c>
      <c r="D20" s="3">
        <v>-13.75</v>
      </c>
    </row>
    <row r="21" spans="1:4" x14ac:dyDescent="0.4">
      <c r="A21" s="1">
        <v>45202</v>
      </c>
      <c r="B21" t="s">
        <v>35</v>
      </c>
      <c r="C21" t="s">
        <v>11</v>
      </c>
      <c r="D21" s="3">
        <v>-32.75</v>
      </c>
    </row>
    <row r="22" spans="1:4" x14ac:dyDescent="0.4">
      <c r="A22" s="1">
        <v>45204</v>
      </c>
      <c r="B22" t="s">
        <v>46</v>
      </c>
      <c r="C22" t="s">
        <v>11</v>
      </c>
      <c r="D22" s="3">
        <v>-12.3</v>
      </c>
    </row>
    <row r="23" spans="1:4" x14ac:dyDescent="0.4">
      <c r="A23" s="1">
        <v>45206</v>
      </c>
      <c r="B23" t="s">
        <v>39</v>
      </c>
      <c r="C23" t="s">
        <v>30</v>
      </c>
      <c r="D23" s="3">
        <v>-29.4</v>
      </c>
    </row>
    <row r="24" spans="1:4" x14ac:dyDescent="0.4">
      <c r="A24" s="1">
        <v>45209</v>
      </c>
      <c r="B24" t="s">
        <v>39</v>
      </c>
      <c r="C24" t="s">
        <v>30</v>
      </c>
      <c r="D24" s="3">
        <v>-28.9</v>
      </c>
    </row>
    <row r="25" spans="1:4" x14ac:dyDescent="0.4">
      <c r="A25" s="1">
        <v>45211</v>
      </c>
      <c r="B25" t="s">
        <v>47</v>
      </c>
      <c r="C25" t="s">
        <v>30</v>
      </c>
      <c r="D25" s="3">
        <v>-22.1</v>
      </c>
    </row>
    <row r="26" spans="1:4" x14ac:dyDescent="0.4">
      <c r="A26" s="1">
        <v>45213</v>
      </c>
      <c r="B26" t="s">
        <v>40</v>
      </c>
      <c r="C26" t="s">
        <v>27</v>
      </c>
      <c r="D26" s="3">
        <v>-48.9</v>
      </c>
    </row>
    <row r="27" spans="1:4" x14ac:dyDescent="0.4">
      <c r="A27" s="1">
        <v>45216</v>
      </c>
      <c r="B27" t="s">
        <v>40</v>
      </c>
      <c r="C27" t="s">
        <v>27</v>
      </c>
      <c r="D27" s="3">
        <v>-47.6</v>
      </c>
    </row>
    <row r="28" spans="1:4" x14ac:dyDescent="0.4">
      <c r="A28" s="1">
        <v>45218</v>
      </c>
      <c r="B28" t="s">
        <v>48</v>
      </c>
      <c r="C28" t="s">
        <v>27</v>
      </c>
      <c r="D28" s="3">
        <v>-36.799999999999997</v>
      </c>
    </row>
    <row r="29" spans="1:4" x14ac:dyDescent="0.4">
      <c r="A29" s="1">
        <v>45228</v>
      </c>
      <c r="B29" t="s">
        <v>50</v>
      </c>
      <c r="C29" t="s">
        <v>28</v>
      </c>
      <c r="D29" s="3">
        <v>-81.7</v>
      </c>
    </row>
    <row r="30" spans="1:4" x14ac:dyDescent="0.4">
      <c r="A30" s="1">
        <v>45232</v>
      </c>
      <c r="B30" t="s">
        <v>69</v>
      </c>
      <c r="C30" t="s">
        <v>70</v>
      </c>
      <c r="D30" s="3">
        <v>-1000</v>
      </c>
    </row>
    <row r="31" spans="1:4" x14ac:dyDescent="0.4">
      <c r="A31" s="1">
        <v>45252</v>
      </c>
      <c r="B31" t="s">
        <v>64</v>
      </c>
      <c r="C31" t="s">
        <v>29</v>
      </c>
      <c r="D31" s="3">
        <v>-57</v>
      </c>
    </row>
    <row r="32" spans="1:4" x14ac:dyDescent="0.4">
      <c r="A32" s="1">
        <v>45257</v>
      </c>
      <c r="B32" t="s">
        <v>63</v>
      </c>
      <c r="C32" t="s">
        <v>26</v>
      </c>
      <c r="D32" s="3">
        <v>-9.6</v>
      </c>
    </row>
    <row r="33" spans="1:4" x14ac:dyDescent="0.4">
      <c r="A33" s="1">
        <v>45263</v>
      </c>
      <c r="B33" t="s">
        <v>66</v>
      </c>
      <c r="C33" t="s">
        <v>70</v>
      </c>
      <c r="D33" s="3">
        <v>-100</v>
      </c>
    </row>
  </sheetData>
  <sortState xmlns:xlrd2="http://schemas.microsoft.com/office/spreadsheetml/2017/richdata2" ref="A2:D33">
    <sortCondition ref="A2"/>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8A8B0-F78A-4BCC-B7EB-66AAFB93E64A}">
  <sheetPr codeName="Sheet8"/>
  <dimension ref="A1:E40"/>
  <sheetViews>
    <sheetView zoomScaleNormal="100" workbookViewId="0">
      <selection activeCell="J37" sqref="J37"/>
    </sheetView>
  </sheetViews>
  <sheetFormatPr defaultRowHeight="13.9" x14ac:dyDescent="0.4"/>
  <cols>
    <col min="1" max="1" width="11.75" bestFit="1" customWidth="1"/>
    <col min="2" max="2" width="11.875" bestFit="1" customWidth="1"/>
    <col min="3" max="3" width="9.125" bestFit="1" customWidth="1"/>
    <col min="4" max="4" width="11.75" bestFit="1" customWidth="1"/>
    <col min="5" max="5" width="18.375" bestFit="1" customWidth="1"/>
    <col min="6" max="6" width="11.125" bestFit="1" customWidth="1"/>
    <col min="7" max="7" width="15.75" bestFit="1" customWidth="1"/>
    <col min="8" max="8" width="13.75" bestFit="1" customWidth="1"/>
    <col min="9" max="9" width="7.125" bestFit="1" customWidth="1"/>
    <col min="10" max="10" width="9.125" bestFit="1" customWidth="1"/>
    <col min="11" max="11" width="6.75" bestFit="1" customWidth="1"/>
    <col min="12" max="12" width="7.75" bestFit="1" customWidth="1"/>
    <col min="13" max="13" width="11.5" bestFit="1" customWidth="1"/>
    <col min="14" max="14" width="7.75" bestFit="1" customWidth="1"/>
    <col min="15" max="15" width="8.5" bestFit="1" customWidth="1"/>
    <col min="16" max="16" width="9.625" bestFit="1" customWidth="1"/>
    <col min="17" max="27" width="6.5" bestFit="1" customWidth="1"/>
    <col min="28" max="29" width="5.5" bestFit="1" customWidth="1"/>
    <col min="30" max="34" width="6.875" bestFit="1" customWidth="1"/>
    <col min="35" max="35" width="9.625" bestFit="1" customWidth="1"/>
  </cols>
  <sheetData>
    <row r="1" spans="1:5" x14ac:dyDescent="0.4">
      <c r="A1" s="4" t="s">
        <v>19</v>
      </c>
      <c r="B1" t="s">
        <v>57</v>
      </c>
      <c r="D1" s="4" t="s">
        <v>19</v>
      </c>
      <c r="E1" t="s">
        <v>58</v>
      </c>
    </row>
    <row r="2" spans="1:5" x14ac:dyDescent="0.4">
      <c r="A2" s="7">
        <v>44635</v>
      </c>
      <c r="B2" s="3">
        <v>-52</v>
      </c>
      <c r="D2" s="5" t="s">
        <v>60</v>
      </c>
      <c r="E2" s="3"/>
    </row>
    <row r="3" spans="1:5" x14ac:dyDescent="0.4">
      <c r="A3" s="7">
        <v>44895</v>
      </c>
      <c r="B3" s="3">
        <v>-205.75</v>
      </c>
      <c r="D3" s="6" t="s">
        <v>62</v>
      </c>
      <c r="E3" s="3">
        <v>-52</v>
      </c>
    </row>
    <row r="4" spans="1:5" x14ac:dyDescent="0.4">
      <c r="A4" s="7">
        <v>44897</v>
      </c>
      <c r="B4" s="3">
        <v>-1205.75</v>
      </c>
      <c r="D4" s="6" t="s">
        <v>55</v>
      </c>
      <c r="E4" s="3">
        <v>-153.75</v>
      </c>
    </row>
    <row r="5" spans="1:5" x14ac:dyDescent="0.4">
      <c r="A5" s="7">
        <v>45150</v>
      </c>
      <c r="B5" s="3">
        <v>-1254.5</v>
      </c>
      <c r="D5" s="6" t="s">
        <v>71</v>
      </c>
      <c r="E5" s="3">
        <v>-1000</v>
      </c>
    </row>
    <row r="6" spans="1:5" x14ac:dyDescent="0.4">
      <c r="A6" s="7">
        <v>45157</v>
      </c>
      <c r="B6" s="3">
        <v>-1286.7</v>
      </c>
      <c r="D6" s="5" t="s">
        <v>56</v>
      </c>
      <c r="E6" s="3"/>
    </row>
    <row r="7" spans="1:5" x14ac:dyDescent="0.4">
      <c r="A7" s="7">
        <v>45160</v>
      </c>
      <c r="B7" s="3">
        <v>-1148.95</v>
      </c>
      <c r="D7" s="6" t="s">
        <v>52</v>
      </c>
      <c r="E7" s="3">
        <v>1006.65</v>
      </c>
    </row>
    <row r="8" spans="1:5" x14ac:dyDescent="0.4">
      <c r="A8" s="7">
        <v>45164</v>
      </c>
      <c r="B8" s="3">
        <v>-161.45000000000005</v>
      </c>
      <c r="D8" s="6" t="s">
        <v>53</v>
      </c>
      <c r="E8" s="3">
        <v>-2150.3999999999996</v>
      </c>
    </row>
    <row r="9" spans="1:5" x14ac:dyDescent="0.4">
      <c r="A9" s="7">
        <v>45167</v>
      </c>
      <c r="B9" s="3">
        <v>-165.70000000000005</v>
      </c>
      <c r="D9" s="6" t="s">
        <v>54</v>
      </c>
      <c r="E9" s="3">
        <v>22.399999999999991</v>
      </c>
    </row>
    <row r="10" spans="1:5" x14ac:dyDescent="0.4">
      <c r="A10" s="7">
        <v>45169</v>
      </c>
      <c r="B10" s="3">
        <v>-199.10000000000005</v>
      </c>
      <c r="D10" s="6" t="s">
        <v>55</v>
      </c>
      <c r="E10" s="3">
        <v>-691.6</v>
      </c>
    </row>
    <row r="11" spans="1:5" x14ac:dyDescent="0.4">
      <c r="A11" s="7">
        <v>45171</v>
      </c>
      <c r="B11" s="3">
        <v>-711.4</v>
      </c>
      <c r="D11" s="6" t="s">
        <v>71</v>
      </c>
      <c r="E11" s="3">
        <v>-100</v>
      </c>
    </row>
    <row r="12" spans="1:5" x14ac:dyDescent="0.4">
      <c r="A12" s="7">
        <v>45174</v>
      </c>
      <c r="B12" s="3">
        <v>-773.8</v>
      </c>
      <c r="D12" s="5" t="s">
        <v>21</v>
      </c>
      <c r="E12" s="3">
        <v>-3118.6999999999994</v>
      </c>
    </row>
    <row r="13" spans="1:5" x14ac:dyDescent="0.4">
      <c r="A13" s="7">
        <v>45176</v>
      </c>
      <c r="B13" s="3">
        <v>-830.59999999999991</v>
      </c>
    </row>
    <row r="14" spans="1:5" x14ac:dyDescent="0.4">
      <c r="A14" s="7">
        <v>45178</v>
      </c>
      <c r="B14" s="3">
        <v>-868.39999999999986</v>
      </c>
    </row>
    <row r="15" spans="1:5" x14ac:dyDescent="0.4">
      <c r="A15" s="7">
        <v>45181</v>
      </c>
      <c r="B15" s="3">
        <v>-939.89999999999986</v>
      </c>
    </row>
    <row r="16" spans="1:5" x14ac:dyDescent="0.4">
      <c r="A16" s="7">
        <v>45183</v>
      </c>
      <c r="B16" s="3">
        <v>-981.49999999999989</v>
      </c>
    </row>
    <row r="17" spans="1:2" x14ac:dyDescent="0.4">
      <c r="A17" s="7">
        <v>45185</v>
      </c>
      <c r="B17" s="3">
        <v>-987.74999999999989</v>
      </c>
    </row>
    <row r="18" spans="1:2" x14ac:dyDescent="0.4">
      <c r="A18" s="7">
        <v>45188</v>
      </c>
      <c r="B18" s="3">
        <v>-1500.0499999999997</v>
      </c>
    </row>
    <row r="19" spans="1:2" x14ac:dyDescent="0.4">
      <c r="A19" s="7">
        <v>45192</v>
      </c>
      <c r="B19" s="3">
        <v>-1527.9499999999998</v>
      </c>
    </row>
    <row r="20" spans="1:2" x14ac:dyDescent="0.4">
      <c r="A20" s="7">
        <v>45195</v>
      </c>
      <c r="B20" s="3">
        <v>-1572.5499999999997</v>
      </c>
    </row>
    <row r="21" spans="1:2" x14ac:dyDescent="0.4">
      <c r="A21" s="7">
        <v>45197</v>
      </c>
      <c r="B21" s="3">
        <v>-2335.75</v>
      </c>
    </row>
    <row r="22" spans="1:2" x14ac:dyDescent="0.4">
      <c r="A22" s="7">
        <v>45199</v>
      </c>
      <c r="B22" s="3">
        <v>-2349.5</v>
      </c>
    </row>
    <row r="23" spans="1:2" x14ac:dyDescent="0.4">
      <c r="A23" s="7">
        <v>45202</v>
      </c>
      <c r="B23" s="3">
        <v>-2382.25</v>
      </c>
    </row>
    <row r="24" spans="1:2" x14ac:dyDescent="0.4">
      <c r="A24" s="7">
        <v>45204</v>
      </c>
      <c r="B24" s="3">
        <v>-2394.5500000000002</v>
      </c>
    </row>
    <row r="25" spans="1:2" x14ac:dyDescent="0.4">
      <c r="A25" s="7">
        <v>45206</v>
      </c>
      <c r="B25" s="3">
        <v>-2423.9500000000003</v>
      </c>
    </row>
    <row r="26" spans="1:2" x14ac:dyDescent="0.4">
      <c r="A26" s="7">
        <v>45209</v>
      </c>
      <c r="B26" s="3">
        <v>-2452.8500000000004</v>
      </c>
    </row>
    <row r="27" spans="1:2" x14ac:dyDescent="0.4">
      <c r="A27" s="7">
        <v>45211</v>
      </c>
      <c r="B27" s="3">
        <v>-2474.9500000000003</v>
      </c>
    </row>
    <row r="28" spans="1:2" x14ac:dyDescent="0.4">
      <c r="A28" s="7">
        <v>45213</v>
      </c>
      <c r="B28" s="3">
        <v>-2523.8500000000004</v>
      </c>
    </row>
    <row r="29" spans="1:2" x14ac:dyDescent="0.4">
      <c r="A29" s="7">
        <v>45216</v>
      </c>
      <c r="B29" s="3">
        <v>-2571.4500000000003</v>
      </c>
    </row>
    <row r="30" spans="1:2" x14ac:dyDescent="0.4">
      <c r="A30" s="7">
        <v>45218</v>
      </c>
      <c r="B30" s="3">
        <v>-2608.2500000000005</v>
      </c>
    </row>
    <row r="31" spans="1:2" x14ac:dyDescent="0.4">
      <c r="A31" s="7">
        <v>45220</v>
      </c>
      <c r="B31" s="3">
        <v>-2420.0000000000005</v>
      </c>
    </row>
    <row r="32" spans="1:2" x14ac:dyDescent="0.4">
      <c r="A32" s="7">
        <v>45223</v>
      </c>
      <c r="B32" s="3">
        <v>-2245.4000000000005</v>
      </c>
    </row>
    <row r="33" spans="1:2" x14ac:dyDescent="0.4">
      <c r="A33" s="7">
        <v>45228</v>
      </c>
      <c r="B33" s="3">
        <v>-2327.1000000000004</v>
      </c>
    </row>
    <row r="34" spans="1:2" x14ac:dyDescent="0.4">
      <c r="A34" s="7">
        <v>45232</v>
      </c>
      <c r="B34" s="3">
        <v>-3327.1000000000004</v>
      </c>
    </row>
    <row r="35" spans="1:2" x14ac:dyDescent="0.4">
      <c r="A35" s="7">
        <v>45242</v>
      </c>
      <c r="B35" s="3">
        <v>-3127.1000000000004</v>
      </c>
    </row>
    <row r="36" spans="1:2" x14ac:dyDescent="0.4">
      <c r="A36" s="7">
        <v>45252</v>
      </c>
      <c r="B36" s="3">
        <v>-3059.1000000000004</v>
      </c>
    </row>
    <row r="37" spans="1:2" x14ac:dyDescent="0.4">
      <c r="A37" s="7">
        <v>45253</v>
      </c>
      <c r="B37" s="3">
        <v>-3009.1000000000004</v>
      </c>
    </row>
    <row r="38" spans="1:2" x14ac:dyDescent="0.4">
      <c r="A38" s="7">
        <v>45257</v>
      </c>
      <c r="B38" s="3">
        <v>-3018.7000000000003</v>
      </c>
    </row>
    <row r="39" spans="1:2" x14ac:dyDescent="0.4">
      <c r="A39" s="7">
        <v>45263</v>
      </c>
      <c r="B39" s="3">
        <v>-3118.7000000000003</v>
      </c>
    </row>
    <row r="40" spans="1:2" x14ac:dyDescent="0.4">
      <c r="A40" s="7" t="s">
        <v>21</v>
      </c>
      <c r="B40"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A8249-4348-49B2-93C1-F6ECF088984A}">
  <sheetPr codeName="Sheet20"/>
  <dimension ref="A1:E12"/>
  <sheetViews>
    <sheetView workbookViewId="0">
      <selection activeCell="B1" sqref="B1"/>
    </sheetView>
  </sheetViews>
  <sheetFormatPr defaultRowHeight="13.9" x14ac:dyDescent="0.4"/>
  <cols>
    <col min="1" max="1" width="11.75" bestFit="1" customWidth="1"/>
    <col min="2" max="2" width="14.5" bestFit="1" customWidth="1"/>
    <col min="4" max="4" width="11.75" bestFit="1" customWidth="1"/>
    <col min="5" max="5" width="14.5" bestFit="1" customWidth="1"/>
    <col min="6" max="6" width="15.875" bestFit="1" customWidth="1"/>
    <col min="7" max="7" width="13.75" bestFit="1" customWidth="1"/>
    <col min="8" max="8" width="15.875" bestFit="1" customWidth="1"/>
    <col min="9" max="9" width="13.75" bestFit="1" customWidth="1"/>
    <col min="10" max="10" width="15.875" bestFit="1" customWidth="1"/>
    <col min="11" max="11" width="18.125" bestFit="1" customWidth="1"/>
    <col min="12" max="12" width="20.125" bestFit="1" customWidth="1"/>
  </cols>
  <sheetData>
    <row r="1" spans="1:5" x14ac:dyDescent="0.4">
      <c r="D1" s="4" t="s">
        <v>24</v>
      </c>
      <c r="E1" t="s">
        <v>22</v>
      </c>
    </row>
    <row r="2" spans="1:5" x14ac:dyDescent="0.4">
      <c r="A2" s="4" t="s">
        <v>24</v>
      </c>
      <c r="B2" t="s">
        <v>22</v>
      </c>
      <c r="D2" s="4" t="s">
        <v>23</v>
      </c>
      <c r="E2" t="s">
        <v>22</v>
      </c>
    </row>
    <row r="3" spans="1:5" x14ac:dyDescent="0.4">
      <c r="A3" s="4" t="s">
        <v>23</v>
      </c>
      <c r="B3" t="s">
        <v>22</v>
      </c>
    </row>
    <row r="4" spans="1:5" x14ac:dyDescent="0.4">
      <c r="D4" s="4" t="s">
        <v>19</v>
      </c>
      <c r="E4" t="s">
        <v>20</v>
      </c>
    </row>
    <row r="5" spans="1:5" x14ac:dyDescent="0.4">
      <c r="A5" s="4" t="s">
        <v>19</v>
      </c>
      <c r="B5" t="s">
        <v>20</v>
      </c>
      <c r="D5" s="8">
        <v>45160</v>
      </c>
      <c r="E5" s="3">
        <v>137.75</v>
      </c>
    </row>
    <row r="6" spans="1:5" x14ac:dyDescent="0.4">
      <c r="A6" s="5" t="s">
        <v>30</v>
      </c>
      <c r="B6" s="3">
        <v>125</v>
      </c>
      <c r="D6" s="8">
        <v>45164</v>
      </c>
      <c r="E6" s="3">
        <v>987.5</v>
      </c>
    </row>
    <row r="7" spans="1:5" x14ac:dyDescent="0.4">
      <c r="A7" s="5" t="s">
        <v>5</v>
      </c>
      <c r="B7" s="3">
        <v>200</v>
      </c>
      <c r="D7" s="8">
        <v>45220</v>
      </c>
      <c r="E7" s="3">
        <v>188.25</v>
      </c>
    </row>
    <row r="8" spans="1:5" x14ac:dyDescent="0.4">
      <c r="A8" s="5" t="s">
        <v>12</v>
      </c>
      <c r="B8" s="3">
        <v>1488.1</v>
      </c>
      <c r="D8" s="8">
        <v>45223</v>
      </c>
      <c r="E8" s="3">
        <v>174.6</v>
      </c>
    </row>
    <row r="9" spans="1:5" x14ac:dyDescent="0.4">
      <c r="A9" s="5" t="s">
        <v>29</v>
      </c>
      <c r="B9" s="3">
        <v>50</v>
      </c>
      <c r="D9" s="8">
        <v>45252</v>
      </c>
      <c r="E9" s="3">
        <v>125</v>
      </c>
    </row>
    <row r="10" spans="1:5" x14ac:dyDescent="0.4">
      <c r="A10" s="5" t="s">
        <v>21</v>
      </c>
      <c r="B10" s="3">
        <v>1863.1</v>
      </c>
      <c r="D10" s="8">
        <v>45242</v>
      </c>
      <c r="E10" s="3">
        <v>200</v>
      </c>
    </row>
    <row r="11" spans="1:5" x14ac:dyDescent="0.4">
      <c r="D11" s="8">
        <v>45253</v>
      </c>
      <c r="E11" s="3">
        <v>50</v>
      </c>
    </row>
    <row r="12" spans="1:5" x14ac:dyDescent="0.4">
      <c r="D12" s="8" t="s">
        <v>21</v>
      </c>
      <c r="E12" s="3">
        <v>1863.1</v>
      </c>
    </row>
  </sheetData>
  <dataConsolidate/>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6BC7-FF31-4A04-BBB9-AA837772FADC}">
  <sheetPr codeName="Sheet16"/>
  <dimension ref="A1:H37"/>
  <sheetViews>
    <sheetView workbookViewId="0">
      <selection activeCell="B12" sqref="B12"/>
    </sheetView>
  </sheetViews>
  <sheetFormatPr defaultRowHeight="13.9" x14ac:dyDescent="0.4"/>
  <cols>
    <col min="1" max="1" width="11.75" bestFit="1" customWidth="1"/>
    <col min="2" max="2" width="14.5" bestFit="1" customWidth="1"/>
    <col min="3" max="3" width="7.875" customWidth="1"/>
    <col min="4" max="4" width="11.75" bestFit="1" customWidth="1"/>
    <col min="5" max="5" width="14.5" bestFit="1" customWidth="1"/>
    <col min="6" max="6" width="6.875" customWidth="1"/>
    <col min="7" max="7" width="11.75" bestFit="1" customWidth="1"/>
    <col min="8" max="8" width="14.5" bestFit="1" customWidth="1"/>
    <col min="9" max="27" width="6.5" bestFit="1" customWidth="1"/>
    <col min="28" max="29" width="5.5" bestFit="1" customWidth="1"/>
    <col min="30" max="30" width="9.625" bestFit="1" customWidth="1"/>
  </cols>
  <sheetData>
    <row r="1" spans="1:8" x14ac:dyDescent="0.4">
      <c r="A1" s="4" t="s">
        <v>24</v>
      </c>
      <c r="B1" t="s">
        <v>22</v>
      </c>
      <c r="D1" s="4" t="s">
        <v>24</v>
      </c>
      <c r="E1" t="s">
        <v>22</v>
      </c>
      <c r="G1" s="4" t="s">
        <v>24</v>
      </c>
      <c r="H1" t="s">
        <v>22</v>
      </c>
    </row>
    <row r="2" spans="1:8" x14ac:dyDescent="0.4">
      <c r="A2" s="4" t="s">
        <v>23</v>
      </c>
      <c r="B2" t="s">
        <v>22</v>
      </c>
      <c r="D2" s="4" t="s">
        <v>14</v>
      </c>
      <c r="E2" t="s">
        <v>22</v>
      </c>
      <c r="G2" s="4" t="s">
        <v>23</v>
      </c>
      <c r="H2" t="s">
        <v>22</v>
      </c>
    </row>
    <row r="4" spans="1:8" x14ac:dyDescent="0.4">
      <c r="A4" s="4" t="s">
        <v>19</v>
      </c>
      <c r="B4" t="s">
        <v>20</v>
      </c>
      <c r="D4" s="4" t="s">
        <v>19</v>
      </c>
      <c r="E4" t="s">
        <v>20</v>
      </c>
      <c r="G4" s="4" t="s">
        <v>19</v>
      </c>
      <c r="H4" t="s">
        <v>20</v>
      </c>
    </row>
    <row r="5" spans="1:8" x14ac:dyDescent="0.4">
      <c r="A5" s="5" t="s">
        <v>26</v>
      </c>
      <c r="B5" s="3">
        <v>-53.5</v>
      </c>
      <c r="D5" s="5" t="s">
        <v>26</v>
      </c>
      <c r="E5" s="2">
        <v>1.0739090288650686E-2</v>
      </c>
      <c r="G5" s="8">
        <v>44635</v>
      </c>
      <c r="H5" s="3">
        <v>-52</v>
      </c>
    </row>
    <row r="6" spans="1:8" x14ac:dyDescent="0.4">
      <c r="A6" s="5" t="s">
        <v>29</v>
      </c>
      <c r="B6" s="3">
        <v>-194.25</v>
      </c>
      <c r="D6" s="5" t="s">
        <v>29</v>
      </c>
      <c r="E6" s="2">
        <v>3.8991930627484031E-2</v>
      </c>
      <c r="G6" s="8">
        <v>44895</v>
      </c>
      <c r="H6" s="3">
        <v>-153.75</v>
      </c>
    </row>
    <row r="7" spans="1:8" x14ac:dyDescent="0.4">
      <c r="A7" s="5" t="s">
        <v>8</v>
      </c>
      <c r="B7" s="3">
        <v>-153.75</v>
      </c>
      <c r="D7" s="5" t="s">
        <v>8</v>
      </c>
      <c r="E7" s="2">
        <v>3.0862338913645662E-2</v>
      </c>
      <c r="G7" s="8">
        <v>45150</v>
      </c>
      <c r="H7" s="3">
        <v>-48.75</v>
      </c>
    </row>
    <row r="8" spans="1:8" x14ac:dyDescent="0.4">
      <c r="A8" s="5" t="s">
        <v>70</v>
      </c>
      <c r="B8" s="3">
        <v>-2100</v>
      </c>
      <c r="D8" s="5" t="s">
        <v>70</v>
      </c>
      <c r="E8" s="2">
        <v>0.42153438516198954</v>
      </c>
      <c r="G8" s="8">
        <v>45157</v>
      </c>
      <c r="H8" s="3">
        <v>-32.200000000000003</v>
      </c>
    </row>
    <row r="9" spans="1:8" x14ac:dyDescent="0.4">
      <c r="A9" s="5" t="s">
        <v>6</v>
      </c>
      <c r="B9" s="3">
        <v>-111.15</v>
      </c>
      <c r="D9" s="5" t="s">
        <v>6</v>
      </c>
      <c r="E9" s="2">
        <v>2.2311212814645306E-2</v>
      </c>
      <c r="G9" s="8">
        <v>45167</v>
      </c>
      <c r="H9" s="3">
        <v>-4.25</v>
      </c>
    </row>
    <row r="10" spans="1:8" x14ac:dyDescent="0.4">
      <c r="A10" s="5" t="s">
        <v>30</v>
      </c>
      <c r="B10" s="3">
        <v>-80.400000000000006</v>
      </c>
      <c r="D10" s="5" t="s">
        <v>30</v>
      </c>
      <c r="E10" s="2">
        <v>1.6138745031916174E-2</v>
      </c>
      <c r="G10" s="8">
        <v>45169</v>
      </c>
      <c r="H10" s="3">
        <v>-33.4</v>
      </c>
    </row>
    <row r="11" spans="1:8" x14ac:dyDescent="0.4">
      <c r="A11" s="5" t="s">
        <v>34</v>
      </c>
      <c r="B11" s="3">
        <v>-1024.5999999999999</v>
      </c>
      <c r="D11" s="5" t="s">
        <v>34</v>
      </c>
      <c r="E11" s="2">
        <v>0.20566863382713069</v>
      </c>
      <c r="G11" s="8">
        <v>45171</v>
      </c>
      <c r="H11" s="3">
        <v>-512.29999999999995</v>
      </c>
    </row>
    <row r="12" spans="1:8" x14ac:dyDescent="0.4">
      <c r="A12" s="5" t="s">
        <v>5</v>
      </c>
      <c r="B12" s="3">
        <v>-27.9</v>
      </c>
      <c r="D12" s="5" t="s">
        <v>5</v>
      </c>
      <c r="E12" s="2">
        <v>5.6003854028664323E-3</v>
      </c>
      <c r="G12" s="8">
        <v>45174</v>
      </c>
      <c r="H12" s="3">
        <v>-62.4</v>
      </c>
    </row>
    <row r="13" spans="1:8" x14ac:dyDescent="0.4">
      <c r="A13" s="5" t="s">
        <v>28</v>
      </c>
      <c r="B13" s="3">
        <v>-963.30000000000007</v>
      </c>
      <c r="D13" s="5" t="s">
        <v>28</v>
      </c>
      <c r="E13" s="2">
        <v>0.19336384439359264</v>
      </c>
      <c r="G13" s="8">
        <v>45176</v>
      </c>
      <c r="H13" s="3">
        <v>-56.8</v>
      </c>
    </row>
    <row r="14" spans="1:8" x14ac:dyDescent="0.4">
      <c r="A14" s="5" t="s">
        <v>11</v>
      </c>
      <c r="B14" s="3">
        <v>-82.85</v>
      </c>
      <c r="D14" s="5" t="s">
        <v>11</v>
      </c>
      <c r="E14" s="2">
        <v>1.663053514793849E-2</v>
      </c>
      <c r="G14" s="8">
        <v>45178</v>
      </c>
      <c r="H14" s="3">
        <v>-37.799999999999997</v>
      </c>
    </row>
    <row r="15" spans="1:8" x14ac:dyDescent="0.4">
      <c r="A15" s="5" t="s">
        <v>27</v>
      </c>
      <c r="B15" s="3">
        <v>-190.09999999999997</v>
      </c>
      <c r="D15" s="5" t="s">
        <v>27</v>
      </c>
      <c r="E15" s="2">
        <v>3.8158898390140097E-2</v>
      </c>
      <c r="G15" s="8">
        <v>45181</v>
      </c>
      <c r="H15" s="3">
        <v>-71.5</v>
      </c>
    </row>
    <row r="16" spans="1:8" x14ac:dyDescent="0.4">
      <c r="A16" s="5" t="s">
        <v>21</v>
      </c>
      <c r="B16" s="3">
        <v>-4981.8000000000011</v>
      </c>
      <c r="D16" s="5" t="s">
        <v>21</v>
      </c>
      <c r="E16" s="2">
        <v>1</v>
      </c>
      <c r="G16" s="8">
        <v>45183</v>
      </c>
      <c r="H16" s="3">
        <v>-41.6</v>
      </c>
    </row>
    <row r="17" spans="7:8" x14ac:dyDescent="0.4">
      <c r="G17" s="8">
        <v>45185</v>
      </c>
      <c r="H17" s="3">
        <v>-6.25</v>
      </c>
    </row>
    <row r="18" spans="7:8" x14ac:dyDescent="0.4">
      <c r="G18" s="8">
        <v>45188</v>
      </c>
      <c r="H18" s="3">
        <v>-512.29999999999995</v>
      </c>
    </row>
    <row r="19" spans="7:8" x14ac:dyDescent="0.4">
      <c r="G19" s="8">
        <v>45192</v>
      </c>
      <c r="H19" s="3">
        <v>-27.9</v>
      </c>
    </row>
    <row r="20" spans="7:8" x14ac:dyDescent="0.4">
      <c r="G20" s="8">
        <v>45195</v>
      </c>
      <c r="H20" s="3">
        <v>-44.6</v>
      </c>
    </row>
    <row r="21" spans="7:8" x14ac:dyDescent="0.4">
      <c r="G21" s="8">
        <v>45197</v>
      </c>
      <c r="H21" s="3">
        <v>-763.2</v>
      </c>
    </row>
    <row r="22" spans="7:8" x14ac:dyDescent="0.4">
      <c r="G22" s="8">
        <v>45199</v>
      </c>
      <c r="H22" s="3">
        <v>-13.75</v>
      </c>
    </row>
    <row r="23" spans="7:8" x14ac:dyDescent="0.4">
      <c r="G23" s="8">
        <v>45202</v>
      </c>
      <c r="H23" s="3">
        <v>-32.75</v>
      </c>
    </row>
    <row r="24" spans="7:8" x14ac:dyDescent="0.4">
      <c r="G24" s="8">
        <v>45204</v>
      </c>
      <c r="H24" s="3">
        <v>-12.3</v>
      </c>
    </row>
    <row r="25" spans="7:8" x14ac:dyDescent="0.4">
      <c r="G25" s="8">
        <v>45206</v>
      </c>
      <c r="H25" s="3">
        <v>-29.4</v>
      </c>
    </row>
    <row r="26" spans="7:8" x14ac:dyDescent="0.4">
      <c r="G26" s="8">
        <v>45209</v>
      </c>
      <c r="H26" s="3">
        <v>-28.9</v>
      </c>
    </row>
    <row r="27" spans="7:8" x14ac:dyDescent="0.4">
      <c r="G27" s="8">
        <v>45211</v>
      </c>
      <c r="H27" s="3">
        <v>-22.1</v>
      </c>
    </row>
    <row r="28" spans="7:8" x14ac:dyDescent="0.4">
      <c r="G28" s="8">
        <v>45213</v>
      </c>
      <c r="H28" s="3">
        <v>-48.9</v>
      </c>
    </row>
    <row r="29" spans="7:8" x14ac:dyDescent="0.4">
      <c r="G29" s="8">
        <v>45216</v>
      </c>
      <c r="H29" s="3">
        <v>-47.6</v>
      </c>
    </row>
    <row r="30" spans="7:8" x14ac:dyDescent="0.4">
      <c r="G30" s="8">
        <v>45218</v>
      </c>
      <c r="H30" s="3">
        <v>-36.799999999999997</v>
      </c>
    </row>
    <row r="31" spans="7:8" x14ac:dyDescent="0.4">
      <c r="G31" s="8">
        <v>45228</v>
      </c>
      <c r="H31" s="3">
        <v>-81.7</v>
      </c>
    </row>
    <row r="32" spans="7:8" x14ac:dyDescent="0.4">
      <c r="G32" s="8">
        <v>45232</v>
      </c>
      <c r="H32" s="3">
        <v>-1000</v>
      </c>
    </row>
    <row r="33" spans="7:8" x14ac:dyDescent="0.4">
      <c r="G33" s="8">
        <v>45257</v>
      </c>
      <c r="H33" s="3">
        <v>-9.6</v>
      </c>
    </row>
    <row r="34" spans="7:8" x14ac:dyDescent="0.4">
      <c r="G34" s="8">
        <v>45252</v>
      </c>
      <c r="H34" s="3">
        <v>-57</v>
      </c>
    </row>
    <row r="35" spans="7:8" x14ac:dyDescent="0.4">
      <c r="G35" s="8">
        <v>44897</v>
      </c>
      <c r="H35" s="3">
        <v>-1000</v>
      </c>
    </row>
    <row r="36" spans="7:8" x14ac:dyDescent="0.4">
      <c r="G36" s="8">
        <v>45263</v>
      </c>
      <c r="H36" s="3">
        <v>-100</v>
      </c>
    </row>
    <row r="37" spans="7:8" x14ac:dyDescent="0.4">
      <c r="G37" s="8" t="s">
        <v>21</v>
      </c>
      <c r="H37" s="3">
        <v>-4981.7999999999993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2EDF2-646F-488B-8CD7-4C71C7247DAA}">
  <sheetPr codeName="Sheet5"/>
  <dimension ref="A1:B47"/>
  <sheetViews>
    <sheetView workbookViewId="0">
      <selection activeCell="B1" sqref="B1"/>
    </sheetView>
  </sheetViews>
  <sheetFormatPr defaultRowHeight="13.9" x14ac:dyDescent="0.4"/>
  <cols>
    <col min="1" max="1" width="16.5" bestFit="1" customWidth="1"/>
    <col min="2" max="2" width="14.5" bestFit="1" customWidth="1"/>
    <col min="3" max="3" width="9.125" bestFit="1" customWidth="1"/>
    <col min="4" max="5" width="7.75" bestFit="1" customWidth="1"/>
    <col min="6" max="6" width="9.625" bestFit="1" customWidth="1"/>
    <col min="7" max="7" width="22.25" bestFit="1" customWidth="1"/>
    <col min="8" max="8" width="13.75" bestFit="1" customWidth="1"/>
    <col min="9" max="9" width="17.875" bestFit="1" customWidth="1"/>
    <col min="10" max="10" width="13.75" bestFit="1" customWidth="1"/>
    <col min="11" max="11" width="17.875" bestFit="1" customWidth="1"/>
    <col min="12" max="12" width="13.75" bestFit="1" customWidth="1"/>
    <col min="13" max="13" width="17.875" bestFit="1" customWidth="1"/>
    <col min="14" max="14" width="13.75" bestFit="1" customWidth="1"/>
    <col min="15" max="15" width="17.875" bestFit="1" customWidth="1"/>
    <col min="16" max="16" width="13.75" bestFit="1" customWidth="1"/>
    <col min="17" max="17" width="17.875" bestFit="1" customWidth="1"/>
    <col min="18" max="18" width="13.75" bestFit="1" customWidth="1"/>
    <col min="19" max="19" width="17.875" bestFit="1" customWidth="1"/>
    <col min="20" max="20" width="13.75" bestFit="1" customWidth="1"/>
    <col min="21" max="21" width="17.875" bestFit="1" customWidth="1"/>
    <col min="22" max="22" width="13.75" bestFit="1" customWidth="1"/>
    <col min="23" max="23" width="17.875" bestFit="1" customWidth="1"/>
    <col min="24" max="24" width="18.125" bestFit="1" customWidth="1"/>
    <col min="25" max="25" width="22.25" bestFit="1" customWidth="1"/>
    <col min="26" max="26" width="15.875" bestFit="1" customWidth="1"/>
    <col min="27" max="27" width="8.125" bestFit="1" customWidth="1"/>
    <col min="28" max="28" width="7.75" bestFit="1" customWidth="1"/>
    <col min="29" max="29" width="10.75" bestFit="1" customWidth="1"/>
    <col min="30" max="30" width="8.5" bestFit="1" customWidth="1"/>
    <col min="31" max="31" width="7.125" bestFit="1" customWidth="1"/>
    <col min="32" max="32" width="8.75" bestFit="1" customWidth="1"/>
    <col min="33" max="33" width="9.625" bestFit="1" customWidth="1"/>
    <col min="34" max="35" width="9.375" bestFit="1" customWidth="1"/>
    <col min="36" max="36" width="9.625" bestFit="1" customWidth="1"/>
    <col min="37" max="37" width="13.625" bestFit="1" customWidth="1"/>
    <col min="38" max="38" width="11" bestFit="1" customWidth="1"/>
    <col min="39" max="39" width="13.625" bestFit="1" customWidth="1"/>
    <col min="40" max="40" width="11" bestFit="1" customWidth="1"/>
    <col min="41" max="41" width="13.625" bestFit="1" customWidth="1"/>
    <col min="42" max="42" width="11" bestFit="1" customWidth="1"/>
    <col min="43" max="43" width="13.625" bestFit="1" customWidth="1"/>
    <col min="44" max="44" width="11" bestFit="1" customWidth="1"/>
    <col min="45" max="45" width="13.625" bestFit="1" customWidth="1"/>
    <col min="46" max="46" width="11" bestFit="1" customWidth="1"/>
    <col min="47" max="47" width="13.625" bestFit="1" customWidth="1"/>
    <col min="48" max="48" width="11" bestFit="1" customWidth="1"/>
    <col min="49" max="49" width="13.625" bestFit="1" customWidth="1"/>
    <col min="50" max="50" width="11" bestFit="1" customWidth="1"/>
    <col min="51" max="51" width="13.625" bestFit="1" customWidth="1"/>
    <col min="52" max="52" width="11" bestFit="1" customWidth="1"/>
    <col min="53" max="53" width="13.625" bestFit="1" customWidth="1"/>
    <col min="54" max="54" width="11" bestFit="1" customWidth="1"/>
    <col min="55" max="55" width="13.625" bestFit="1" customWidth="1"/>
    <col min="56" max="56" width="11" bestFit="1" customWidth="1"/>
    <col min="57" max="57" width="13.625" bestFit="1" customWidth="1"/>
    <col min="58" max="58" width="11" bestFit="1" customWidth="1"/>
    <col min="59" max="59" width="13.625" bestFit="1" customWidth="1"/>
    <col min="60" max="60" width="11" bestFit="1" customWidth="1"/>
    <col min="61" max="61" width="13.625" bestFit="1" customWidth="1"/>
    <col min="62" max="62" width="11" bestFit="1" customWidth="1"/>
    <col min="63" max="63" width="13.625" bestFit="1" customWidth="1"/>
    <col min="64" max="64" width="11" bestFit="1" customWidth="1"/>
    <col min="65" max="65" width="13.625" bestFit="1" customWidth="1"/>
    <col min="66" max="66" width="11" bestFit="1" customWidth="1"/>
    <col min="67" max="67" width="13.625" bestFit="1" customWidth="1"/>
    <col min="68" max="68" width="11" bestFit="1" customWidth="1"/>
    <col min="69" max="69" width="13.625" bestFit="1" customWidth="1"/>
    <col min="70" max="70" width="9.625" bestFit="1" customWidth="1"/>
  </cols>
  <sheetData>
    <row r="1" spans="1:2" x14ac:dyDescent="0.4">
      <c r="A1" s="4" t="s">
        <v>24</v>
      </c>
      <c r="B1" t="s">
        <v>22</v>
      </c>
    </row>
    <row r="2" spans="1:2" x14ac:dyDescent="0.4">
      <c r="A2" s="4" t="s">
        <v>23</v>
      </c>
      <c r="B2" t="s">
        <v>22</v>
      </c>
    </row>
    <row r="4" spans="1:2" x14ac:dyDescent="0.4">
      <c r="A4" s="4" t="s">
        <v>19</v>
      </c>
      <c r="B4" t="s">
        <v>20</v>
      </c>
    </row>
    <row r="5" spans="1:2" x14ac:dyDescent="0.4">
      <c r="A5" s="5" t="s">
        <v>26</v>
      </c>
      <c r="B5" s="3">
        <v>-53.5</v>
      </c>
    </row>
    <row r="6" spans="1:2" x14ac:dyDescent="0.4">
      <c r="A6" s="6" t="s">
        <v>63</v>
      </c>
      <c r="B6" s="3">
        <v>-9.6</v>
      </c>
    </row>
    <row r="7" spans="1:2" x14ac:dyDescent="0.4">
      <c r="A7" s="6" t="s">
        <v>36</v>
      </c>
      <c r="B7" s="3">
        <v>-10.5</v>
      </c>
    </row>
    <row r="8" spans="1:2" x14ac:dyDescent="0.4">
      <c r="A8" s="6" t="s">
        <v>42</v>
      </c>
      <c r="B8" s="3">
        <v>-33.4</v>
      </c>
    </row>
    <row r="9" spans="1:2" x14ac:dyDescent="0.4">
      <c r="A9" s="5" t="s">
        <v>29</v>
      </c>
      <c r="B9" s="3">
        <v>-144.25</v>
      </c>
    </row>
    <row r="10" spans="1:2" x14ac:dyDescent="0.4">
      <c r="A10" s="6" t="s">
        <v>49</v>
      </c>
      <c r="B10" s="3">
        <v>-71.5</v>
      </c>
    </row>
    <row r="11" spans="1:2" x14ac:dyDescent="0.4">
      <c r="A11" s="6" t="s">
        <v>73</v>
      </c>
      <c r="B11" s="3">
        <v>50</v>
      </c>
    </row>
    <row r="12" spans="1:2" x14ac:dyDescent="0.4">
      <c r="A12" s="6" t="s">
        <v>64</v>
      </c>
      <c r="B12" s="3">
        <v>-57</v>
      </c>
    </row>
    <row r="13" spans="1:2" x14ac:dyDescent="0.4">
      <c r="A13" s="6" t="s">
        <v>38</v>
      </c>
      <c r="B13" s="3">
        <v>-13.75</v>
      </c>
    </row>
    <row r="14" spans="1:2" x14ac:dyDescent="0.4">
      <c r="A14" s="6" t="s">
        <v>61</v>
      </c>
      <c r="B14" s="3">
        <v>-52</v>
      </c>
    </row>
    <row r="15" spans="1:2" x14ac:dyDescent="0.4">
      <c r="A15" s="5" t="s">
        <v>8</v>
      </c>
      <c r="B15" s="3">
        <v>-153.75</v>
      </c>
    </row>
    <row r="16" spans="1:2" x14ac:dyDescent="0.4">
      <c r="A16" s="6" t="s">
        <v>59</v>
      </c>
      <c r="B16" s="3">
        <v>-153.75</v>
      </c>
    </row>
    <row r="17" spans="1:2" x14ac:dyDescent="0.4">
      <c r="A17" s="5" t="s">
        <v>70</v>
      </c>
      <c r="B17" s="3">
        <v>-2100</v>
      </c>
    </row>
    <row r="18" spans="1:2" x14ac:dyDescent="0.4">
      <c r="A18" s="6" t="s">
        <v>66</v>
      </c>
      <c r="B18" s="3">
        <v>-100</v>
      </c>
    </row>
    <row r="19" spans="1:2" x14ac:dyDescent="0.4">
      <c r="A19" s="6" t="s">
        <v>69</v>
      </c>
      <c r="B19" s="3">
        <v>-1000</v>
      </c>
    </row>
    <row r="20" spans="1:2" x14ac:dyDescent="0.4">
      <c r="A20" s="6" t="s">
        <v>72</v>
      </c>
      <c r="B20" s="3">
        <v>-1000</v>
      </c>
    </row>
    <row r="21" spans="1:2" x14ac:dyDescent="0.4">
      <c r="A21" s="5" t="s">
        <v>6</v>
      </c>
      <c r="B21" s="3">
        <v>-111.15</v>
      </c>
    </row>
    <row r="22" spans="1:2" x14ac:dyDescent="0.4">
      <c r="A22" s="6" t="s">
        <v>31</v>
      </c>
      <c r="B22" s="3">
        <v>-111.15</v>
      </c>
    </row>
    <row r="23" spans="1:2" x14ac:dyDescent="0.4">
      <c r="A23" s="5" t="s">
        <v>30</v>
      </c>
      <c r="B23" s="3">
        <v>44.599999999999994</v>
      </c>
    </row>
    <row r="24" spans="1:2" x14ac:dyDescent="0.4">
      <c r="A24" s="6" t="s">
        <v>39</v>
      </c>
      <c r="B24" s="3">
        <v>-58.3</v>
      </c>
    </row>
    <row r="25" spans="1:2" x14ac:dyDescent="0.4">
      <c r="A25" s="6" t="s">
        <v>47</v>
      </c>
      <c r="B25" s="3">
        <v>-22.1</v>
      </c>
    </row>
    <row r="26" spans="1:2" x14ac:dyDescent="0.4">
      <c r="A26" s="6" t="s">
        <v>51</v>
      </c>
      <c r="B26" s="3">
        <v>125</v>
      </c>
    </row>
    <row r="27" spans="1:2" x14ac:dyDescent="0.4">
      <c r="A27" s="5" t="s">
        <v>34</v>
      </c>
      <c r="B27" s="3">
        <v>-1024.5999999999999</v>
      </c>
    </row>
    <row r="28" spans="1:2" x14ac:dyDescent="0.4">
      <c r="A28" s="6" t="s">
        <v>10</v>
      </c>
      <c r="B28" s="3">
        <v>-1024.5999999999999</v>
      </c>
    </row>
    <row r="29" spans="1:2" x14ac:dyDescent="0.4">
      <c r="A29" s="5" t="s">
        <v>5</v>
      </c>
      <c r="B29" s="3">
        <v>172.1</v>
      </c>
    </row>
    <row r="30" spans="1:2" x14ac:dyDescent="0.4">
      <c r="A30" s="6" t="s">
        <v>37</v>
      </c>
      <c r="B30" s="3">
        <v>-27.9</v>
      </c>
    </row>
    <row r="31" spans="1:2" x14ac:dyDescent="0.4">
      <c r="A31" s="6" t="s">
        <v>65</v>
      </c>
      <c r="B31" s="3">
        <v>200</v>
      </c>
    </row>
    <row r="32" spans="1:2" x14ac:dyDescent="0.4">
      <c r="A32" s="5" t="s">
        <v>28</v>
      </c>
      <c r="B32" s="3">
        <v>-963.30000000000007</v>
      </c>
    </row>
    <row r="33" spans="1:2" x14ac:dyDescent="0.4">
      <c r="A33" s="6" t="s">
        <v>32</v>
      </c>
      <c r="B33" s="3">
        <v>-76.800000000000011</v>
      </c>
    </row>
    <row r="34" spans="1:2" x14ac:dyDescent="0.4">
      <c r="A34" s="6" t="s">
        <v>44</v>
      </c>
      <c r="B34" s="3">
        <v>-41.6</v>
      </c>
    </row>
    <row r="35" spans="1:2" x14ac:dyDescent="0.4">
      <c r="A35" s="6" t="s">
        <v>45</v>
      </c>
      <c r="B35" s="3">
        <v>-763.2</v>
      </c>
    </row>
    <row r="36" spans="1:2" x14ac:dyDescent="0.4">
      <c r="A36" s="6" t="s">
        <v>50</v>
      </c>
      <c r="B36" s="3">
        <v>-81.7</v>
      </c>
    </row>
    <row r="37" spans="1:2" x14ac:dyDescent="0.4">
      <c r="A37" s="5" t="s">
        <v>11</v>
      </c>
      <c r="B37" s="3">
        <v>-82.85</v>
      </c>
    </row>
    <row r="38" spans="1:2" x14ac:dyDescent="0.4">
      <c r="A38" s="6" t="s">
        <v>35</v>
      </c>
      <c r="B38" s="3">
        <v>-70.55</v>
      </c>
    </row>
    <row r="39" spans="1:2" x14ac:dyDescent="0.4">
      <c r="A39" s="6" t="s">
        <v>46</v>
      </c>
      <c r="B39" s="3">
        <v>-12.3</v>
      </c>
    </row>
    <row r="40" spans="1:2" x14ac:dyDescent="0.4">
      <c r="A40" s="5" t="s">
        <v>27</v>
      </c>
      <c r="B40" s="3">
        <v>-190.1</v>
      </c>
    </row>
    <row r="41" spans="1:2" x14ac:dyDescent="0.4">
      <c r="A41" s="6" t="s">
        <v>48</v>
      </c>
      <c r="B41" s="3">
        <v>-36.799999999999997</v>
      </c>
    </row>
    <row r="42" spans="1:2" x14ac:dyDescent="0.4">
      <c r="A42" s="6" t="s">
        <v>43</v>
      </c>
      <c r="B42" s="3">
        <v>-56.8</v>
      </c>
    </row>
    <row r="43" spans="1:2" x14ac:dyDescent="0.4">
      <c r="A43" s="6" t="s">
        <v>40</v>
      </c>
      <c r="B43" s="3">
        <v>-96.5</v>
      </c>
    </row>
    <row r="44" spans="1:2" x14ac:dyDescent="0.4">
      <c r="A44" s="5" t="s">
        <v>12</v>
      </c>
      <c r="B44" s="3">
        <v>1488.1</v>
      </c>
    </row>
    <row r="45" spans="1:2" x14ac:dyDescent="0.4">
      <c r="A45" s="6" t="s">
        <v>41</v>
      </c>
      <c r="B45" s="3">
        <v>500.6</v>
      </c>
    </row>
    <row r="46" spans="1:2" x14ac:dyDescent="0.4">
      <c r="A46" s="6" t="s">
        <v>33</v>
      </c>
      <c r="B46" s="3">
        <v>987.5</v>
      </c>
    </row>
    <row r="47" spans="1:2" x14ac:dyDescent="0.4">
      <c r="A47" s="5" t="s">
        <v>21</v>
      </c>
      <c r="B47" s="3">
        <v>-3118.7000000000007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ACC9F-7235-4D88-A56A-9E0C6892B6D8}">
  <sheetPr codeName="Sheet4"/>
  <dimension ref="A1:A13"/>
  <sheetViews>
    <sheetView workbookViewId="0">
      <selection sqref="A1:A13"/>
    </sheetView>
  </sheetViews>
  <sheetFormatPr defaultRowHeight="13.9" x14ac:dyDescent="0.4"/>
  <sheetData>
    <row r="1" spans="1:1" x14ac:dyDescent="0.4">
      <c r="A1" t="s">
        <v>5</v>
      </c>
    </row>
    <row r="2" spans="1:1" x14ac:dyDescent="0.4">
      <c r="A2" t="s">
        <v>6</v>
      </c>
    </row>
    <row r="3" spans="1:1" x14ac:dyDescent="0.4">
      <c r="A3" t="s">
        <v>29</v>
      </c>
    </row>
    <row r="4" spans="1:1" x14ac:dyDescent="0.4">
      <c r="A4" t="s">
        <v>7</v>
      </c>
    </row>
    <row r="5" spans="1:1" x14ac:dyDescent="0.4">
      <c r="A5" t="s">
        <v>8</v>
      </c>
    </row>
    <row r="6" spans="1:1" x14ac:dyDescent="0.4">
      <c r="A6" t="s">
        <v>9</v>
      </c>
    </row>
    <row r="7" spans="1:1" x14ac:dyDescent="0.4">
      <c r="A7" t="s">
        <v>34</v>
      </c>
    </row>
    <row r="8" spans="1:1" x14ac:dyDescent="0.4">
      <c r="A8" t="s">
        <v>28</v>
      </c>
    </row>
    <row r="9" spans="1:1" x14ac:dyDescent="0.4">
      <c r="A9" t="s">
        <v>11</v>
      </c>
    </row>
    <row r="10" spans="1:1" x14ac:dyDescent="0.4">
      <c r="A10" t="s">
        <v>27</v>
      </c>
    </row>
    <row r="11" spans="1:1" x14ac:dyDescent="0.4">
      <c r="A11" t="s">
        <v>12</v>
      </c>
    </row>
    <row r="12" spans="1:1" x14ac:dyDescent="0.4">
      <c r="A12" t="s">
        <v>30</v>
      </c>
    </row>
    <row r="13" spans="1:1" x14ac:dyDescent="0.4">
      <c r="A13" t="s">
        <v>26</v>
      </c>
    </row>
  </sheetData>
  <sheetProtection selectLockedCells="1" selectUnlockedCell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A43CC3-DC32-450E-9920-8104DDE1949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MainMenu</vt:lpstr>
      <vt:lpstr>IncomeExpensesTracking</vt:lpstr>
      <vt:lpstr>CombinedTable</vt:lpstr>
      <vt:lpstr>IncomeTable</vt:lpstr>
      <vt:lpstr>ExpensesTable</vt:lpstr>
      <vt:lpstr>CombinedPivot</vt:lpstr>
      <vt:lpstr>IncomePivot</vt:lpstr>
      <vt:lpstr>ExpensesPivot</vt:lpstr>
      <vt:lpstr>ByCategory</vt:lpstr>
      <vt:lpstr>Categories</vt:lpstr>
      <vt:lpstr>MainMenuSheet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Jina Yang</dc:creator>
  <cp:keywords/>
  <dc:description/>
  <cp:lastModifiedBy>Jina Yang</cp:lastModifiedBy>
  <cp:revision/>
  <dcterms:created xsi:type="dcterms:W3CDTF">2023-11-07T04:25:22Z</dcterms:created>
  <dcterms:modified xsi:type="dcterms:W3CDTF">2024-01-08T14:55:33Z</dcterms:modified>
  <cp:category/>
  <cp:contentStatus/>
</cp:coreProperties>
</file>